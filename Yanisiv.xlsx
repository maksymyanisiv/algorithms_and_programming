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а" sheetId="1" state="visible" r:id="rId1"/>
    <sheet xmlns:r="http://schemas.openxmlformats.org/officeDocument/2006/relationships" name="Зарплата (формули)" sheetId="2" state="visible" r:id="rId2"/>
    <sheet xmlns:r="http://schemas.openxmlformats.org/officeDocument/2006/relationships" name="Статистика ІТ" sheetId="3" state="visible" r:id="rId3"/>
    <sheet xmlns:r="http://schemas.openxmlformats.org/officeDocument/2006/relationships" name="Автофільтр" sheetId="4" state="visible" r:id="rId4"/>
    <sheet xmlns:r="http://schemas.openxmlformats.org/officeDocument/2006/relationships" name="Розширений фільтр" sheetId="5" state="visible" r:id="rId5"/>
  </sheets>
  <definedNames>
    <definedName name="_xlnm._FilterDatabase" localSheetId="2" hidden="1">'Статистика ІТ'!$A$3:$E$18</definedName>
    <definedName name="_xlnm._FilterDatabase" localSheetId="3" hidden="1">'Автофільтр'!$A$3:$E$18</definedName>
    <definedName name="_xlnm._FilterDatabase" localSheetId="4" hidden="1">'Розширений фільтр'!$A$3:$F$28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9D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5" customWidth="1" min="4" max="4"/>
    <col width="28" customWidth="1" min="5" max="5"/>
    <col width="28" customWidth="1" min="6" max="6"/>
  </cols>
  <sheetData>
    <row r="1">
      <c r="A1" s="1" t="inlineStr">
        <is>
          <t>Зарплата працівників в ІТ</t>
        </is>
      </c>
    </row>
    <row r="3" ht="40" customHeight="1">
      <c r="A3" s="2" t="inlineStr">
        <is>
          <t>Порядковий номер</t>
        </is>
      </c>
      <c r="B3" s="2" t="inlineStr">
        <is>
          <t>Ідентифікаційний код працівника</t>
        </is>
      </c>
      <c r="C3" s="2" t="inlineStr">
        <is>
          <t>Прізвище та ім'я</t>
        </is>
      </c>
      <c r="D3" s="2" t="inlineStr">
        <is>
          <t>Нарахована зарплата (грн.)</t>
        </is>
      </c>
      <c r="E3" s="2" t="inlineStr">
        <is>
          <t>Податок із зарплати (грн.)</t>
        </is>
      </c>
      <c r="F3" s="2" t="inlineStr">
        <is>
          <t>До видачі працівнику (грн.)</t>
        </is>
      </c>
    </row>
    <row r="4">
      <c r="A4" s="3" t="n">
        <v>1</v>
      </c>
      <c r="B4" s="4" t="inlineStr">
        <is>
          <t>1234567890</t>
        </is>
      </c>
      <c r="C4" s="5" t="inlineStr">
        <is>
          <t>Іваненко Іван</t>
        </is>
      </c>
      <c r="D4" s="6" t="n">
        <v>7500</v>
      </c>
      <c r="E4" s="6">
        <f>IF(D4&lt;=8000, D4*0.1, IF(D4&gt;20000, D4*0.2, D4*0.15))</f>
        <v/>
      </c>
      <c r="F4" s="6">
        <f>D4-E4</f>
        <v/>
      </c>
    </row>
    <row r="5">
      <c r="A5" s="3" t="n">
        <v>2</v>
      </c>
      <c r="B5" s="4" t="inlineStr">
        <is>
          <t>2345678901</t>
        </is>
      </c>
      <c r="C5" s="5" t="inlineStr">
        <is>
          <t>Петренко Петро</t>
        </is>
      </c>
      <c r="D5" s="6" t="n">
        <v>12000</v>
      </c>
      <c r="E5" s="6">
        <f>IF(D5&lt;=8000, D5*0.1, IF(D5&gt;20000, D5*0.2, D5*0.15))</f>
        <v/>
      </c>
      <c r="F5" s="6">
        <f>D5-E5</f>
        <v/>
      </c>
    </row>
    <row r="6">
      <c r="A6" s="3" t="n">
        <v>3</v>
      </c>
      <c r="B6" s="4" t="inlineStr">
        <is>
          <t>3456789012</t>
        </is>
      </c>
      <c r="C6" s="5" t="inlineStr">
        <is>
          <t>Коваленко Олена</t>
        </is>
      </c>
      <c r="D6" s="6" t="n">
        <v>25000</v>
      </c>
      <c r="E6" s="6">
        <f>IF(D6&lt;=8000, D6*0.1, IF(D6&gt;20000, D6*0.2, D6*0.15))</f>
        <v/>
      </c>
      <c r="F6" s="6">
        <f>D6-E6</f>
        <v/>
      </c>
    </row>
    <row r="7">
      <c r="A7" s="3" t="n">
        <v>4</v>
      </c>
      <c r="B7" s="4" t="inlineStr">
        <is>
          <t>4567890123</t>
        </is>
      </c>
      <c r="C7" s="5" t="inlineStr">
        <is>
          <t>Мельник Андрій</t>
        </is>
      </c>
      <c r="D7" s="6" t="n">
        <v>15000</v>
      </c>
      <c r="E7" s="6">
        <f>IF(D7&lt;=8000, D7*0.1, IF(D7&gt;20000, D7*0.2, D7*0.15))</f>
        <v/>
      </c>
      <c r="F7" s="6">
        <f>D7-E7</f>
        <v/>
      </c>
    </row>
    <row r="8">
      <c r="A8" s="3" t="n">
        <v>5</v>
      </c>
      <c r="B8" s="4" t="inlineStr">
        <is>
          <t>5678901234</t>
        </is>
      </c>
      <c r="C8" s="5" t="inlineStr">
        <is>
          <t>Шевченко Марія</t>
        </is>
      </c>
      <c r="D8" s="6" t="n">
        <v>8000</v>
      </c>
      <c r="E8" s="6">
        <f>IF(D8&lt;=8000, D8*0.1, IF(D8&gt;20000, D8*0.2, D8*0.15))</f>
        <v/>
      </c>
      <c r="F8" s="6">
        <f>D8-E8</f>
        <v/>
      </c>
    </row>
    <row r="9">
      <c r="A9" s="3" t="n">
        <v>6</v>
      </c>
      <c r="B9" s="4" t="inlineStr">
        <is>
          <t>6789012345</t>
        </is>
      </c>
      <c r="C9" s="5" t="inlineStr">
        <is>
          <t>Бондаренко Олександр</t>
        </is>
      </c>
      <c r="D9" s="6" t="n">
        <v>30000</v>
      </c>
      <c r="E9" s="6">
        <f>IF(D9&lt;=8000, D9*0.1, IF(D9&gt;20000, D9*0.2, D9*0.15))</f>
        <v/>
      </c>
      <c r="F9" s="6">
        <f>D9-E9</f>
        <v/>
      </c>
    </row>
    <row r="10">
      <c r="A10" s="3" t="n">
        <v>7</v>
      </c>
      <c r="B10" s="4" t="inlineStr">
        <is>
          <t>7890123456</t>
        </is>
      </c>
      <c r="C10" s="5" t="inlineStr">
        <is>
          <t>Ткаченко Наталія</t>
        </is>
      </c>
      <c r="D10" s="6" t="n">
        <v>9500</v>
      </c>
      <c r="E10" s="6">
        <f>IF(D10&lt;=8000, D10*0.1, IF(D10&gt;20000, D10*0.2, D10*0.15))</f>
        <v/>
      </c>
      <c r="F10" s="6">
        <f>D10-E10</f>
        <v/>
      </c>
    </row>
    <row r="11">
      <c r="A11" s="3" t="n">
        <v>8</v>
      </c>
      <c r="B11" s="4" t="inlineStr">
        <is>
          <t>8901234567</t>
        </is>
      </c>
      <c r="C11" s="5" t="inlineStr">
        <is>
          <t>Морозенко Дмитро</t>
        </is>
      </c>
      <c r="D11" s="6" t="n">
        <v>18000</v>
      </c>
      <c r="E11" s="6">
        <f>IF(D11&lt;=8000, D11*0.1, IF(D11&gt;20000, D11*0.2, D11*0.15))</f>
        <v/>
      </c>
      <c r="F11" s="6">
        <f>D11-E11</f>
        <v/>
      </c>
    </row>
    <row r="12">
      <c r="A12" s="3" t="n">
        <v>9</v>
      </c>
      <c r="B12" s="4" t="inlineStr">
        <is>
          <t>9012345678</t>
        </is>
      </c>
      <c r="C12" s="5" t="inlineStr">
        <is>
          <t>Лисенко Катерина</t>
        </is>
      </c>
      <c r="D12" s="6" t="n">
        <v>22000</v>
      </c>
      <c r="E12" s="6">
        <f>IF(D12&lt;=8000, D12*0.1, IF(D12&gt;20000, D12*0.2, D12*0.15))</f>
        <v/>
      </c>
      <c r="F12" s="6">
        <f>D12-E12</f>
        <v/>
      </c>
    </row>
    <row r="13">
      <c r="A13" s="3" t="n">
        <v>10</v>
      </c>
      <c r="B13" s="4" t="inlineStr">
        <is>
          <t>0123456789</t>
        </is>
      </c>
      <c r="C13" s="5" t="inlineStr">
        <is>
          <t>Гриценко Сергій</t>
        </is>
      </c>
      <c r="D13" s="6" t="n">
        <v>11000</v>
      </c>
      <c r="E13" s="6">
        <f>IF(D13&lt;=8000, D13*0.1, IF(D13&gt;20000, D13*0.2, D13*0.15))</f>
        <v/>
      </c>
      <c r="F13" s="6">
        <f>D13-E13</f>
        <v/>
      </c>
    </row>
    <row r="14">
      <c r="A14" s="3" t="n">
        <v>11</v>
      </c>
      <c r="B14" s="4" t="inlineStr">
        <is>
          <t>1122334455</t>
        </is>
      </c>
      <c r="C14" s="5" t="inlineStr">
        <is>
          <t>Савченко Оксана</t>
        </is>
      </c>
      <c r="D14" s="6" t="n">
        <v>16000</v>
      </c>
      <c r="E14" s="6">
        <f>IF(D14&lt;=8000, D14*0.1, IF(D14&gt;20000, D14*0.2, D14*0.15))</f>
        <v/>
      </c>
      <c r="F14" s="6">
        <f>D14-E14</f>
        <v/>
      </c>
    </row>
    <row r="15">
      <c r="A15" s="3" t="n">
        <v>12</v>
      </c>
      <c r="B15" s="4" t="inlineStr">
        <is>
          <t>2233445566</t>
        </is>
      </c>
      <c r="C15" s="5" t="inlineStr">
        <is>
          <t>Романенко Віктор</t>
        </is>
      </c>
      <c r="D15" s="6" t="n">
        <v>19000</v>
      </c>
      <c r="E15" s="6">
        <f>IF(D15&lt;=8000, D15*0.1, IF(D15&gt;20000, D15*0.2, D15*0.15))</f>
        <v/>
      </c>
      <c r="F15" s="6">
        <f>D15-E15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9D"/>
    <outlinePr summaryBelow="1" summaryRight="1"/>
    <pageSetUpPr/>
  </sheetPr>
  <dimension ref="A1:F15"/>
  <sheetViews>
    <sheetView showFormula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5" customWidth="1" min="4" max="4"/>
    <col width="28" customWidth="1" min="5" max="5"/>
    <col width="28" customWidth="1" min="6" max="6"/>
  </cols>
  <sheetData>
    <row r="1">
      <c r="A1" s="1" t="inlineStr">
        <is>
          <t>Зарплата працівників в ІТ</t>
        </is>
      </c>
    </row>
    <row r="3" ht="40" customHeight="1">
      <c r="A3" s="2" t="inlineStr">
        <is>
          <t>Порядковий номер</t>
        </is>
      </c>
      <c r="B3" s="2" t="inlineStr">
        <is>
          <t>Ідентифікаційний код працівника</t>
        </is>
      </c>
      <c r="C3" s="2" t="inlineStr">
        <is>
          <t>Прізвище та ім'я</t>
        </is>
      </c>
      <c r="D3" s="2" t="inlineStr">
        <is>
          <t>Нарахована зарплата (грн.)</t>
        </is>
      </c>
      <c r="E3" s="2" t="inlineStr">
        <is>
          <t>Податок із зарплати (грн.)</t>
        </is>
      </c>
      <c r="F3" s="2" t="inlineStr">
        <is>
          <t>До видачі працівнику (грн.)</t>
        </is>
      </c>
    </row>
    <row r="4">
      <c r="A4" s="3" t="n">
        <v>1</v>
      </c>
      <c r="B4" s="4" t="inlineStr">
        <is>
          <t>1234567890</t>
        </is>
      </c>
      <c r="C4" s="5" t="inlineStr">
        <is>
          <t>Іваненко Іван</t>
        </is>
      </c>
      <c r="D4" s="6" t="n">
        <v>7500</v>
      </c>
      <c r="E4" s="6">
        <f>IF(D4&lt;=8000, D4*0.1, IF(D4&gt;20000, D4*0.2, D4*0.15))</f>
        <v/>
      </c>
      <c r="F4" s="6">
        <f>D4-E4</f>
        <v/>
      </c>
    </row>
    <row r="5">
      <c r="A5" s="3" t="n">
        <v>2</v>
      </c>
      <c r="B5" s="4" t="inlineStr">
        <is>
          <t>2345678901</t>
        </is>
      </c>
      <c r="C5" s="5" t="inlineStr">
        <is>
          <t>Петренко Петро</t>
        </is>
      </c>
      <c r="D5" s="6" t="n">
        <v>12000</v>
      </c>
      <c r="E5" s="6">
        <f>IF(D5&lt;=8000, D5*0.1, IF(D5&gt;20000, D5*0.2, D5*0.15))</f>
        <v/>
      </c>
      <c r="F5" s="6">
        <f>D5-E5</f>
        <v/>
      </c>
    </row>
    <row r="6">
      <c r="A6" s="3" t="n">
        <v>3</v>
      </c>
      <c r="B6" s="4" t="inlineStr">
        <is>
          <t>3456789012</t>
        </is>
      </c>
      <c r="C6" s="5" t="inlineStr">
        <is>
          <t>Коваленко Олена</t>
        </is>
      </c>
      <c r="D6" s="6" t="n">
        <v>25000</v>
      </c>
      <c r="E6" s="6">
        <f>IF(D6&lt;=8000, D6*0.1, IF(D6&gt;20000, D6*0.2, D6*0.15))</f>
        <v/>
      </c>
      <c r="F6" s="6">
        <f>D6-E6</f>
        <v/>
      </c>
    </row>
    <row r="7">
      <c r="A7" s="3" t="n">
        <v>4</v>
      </c>
      <c r="B7" s="4" t="inlineStr">
        <is>
          <t>4567890123</t>
        </is>
      </c>
      <c r="C7" s="5" t="inlineStr">
        <is>
          <t>Мельник Андрій</t>
        </is>
      </c>
      <c r="D7" s="6" t="n">
        <v>15000</v>
      </c>
      <c r="E7" s="6">
        <f>IF(D7&lt;=8000, D7*0.1, IF(D7&gt;20000, D7*0.2, D7*0.15))</f>
        <v/>
      </c>
      <c r="F7" s="6">
        <f>D7-E7</f>
        <v/>
      </c>
    </row>
    <row r="8">
      <c r="A8" s="3" t="n">
        <v>5</v>
      </c>
      <c r="B8" s="4" t="inlineStr">
        <is>
          <t>5678901234</t>
        </is>
      </c>
      <c r="C8" s="5" t="inlineStr">
        <is>
          <t>Шевченко Марія</t>
        </is>
      </c>
      <c r="D8" s="6" t="n">
        <v>8000</v>
      </c>
      <c r="E8" s="6">
        <f>IF(D8&lt;=8000, D8*0.1, IF(D8&gt;20000, D8*0.2, D8*0.15))</f>
        <v/>
      </c>
      <c r="F8" s="6">
        <f>D8-E8</f>
        <v/>
      </c>
    </row>
    <row r="9">
      <c r="A9" s="3" t="n">
        <v>6</v>
      </c>
      <c r="B9" s="4" t="inlineStr">
        <is>
          <t>6789012345</t>
        </is>
      </c>
      <c r="C9" s="5" t="inlineStr">
        <is>
          <t>Бондаренко Олександр</t>
        </is>
      </c>
      <c r="D9" s="6" t="n">
        <v>30000</v>
      </c>
      <c r="E9" s="6">
        <f>IF(D9&lt;=8000, D9*0.1, IF(D9&gt;20000, D9*0.2, D9*0.15))</f>
        <v/>
      </c>
      <c r="F9" s="6">
        <f>D9-E9</f>
        <v/>
      </c>
    </row>
    <row r="10">
      <c r="A10" s="3" t="n">
        <v>7</v>
      </c>
      <c r="B10" s="4" t="inlineStr">
        <is>
          <t>7890123456</t>
        </is>
      </c>
      <c r="C10" s="5" t="inlineStr">
        <is>
          <t>Ткаченко Наталія</t>
        </is>
      </c>
      <c r="D10" s="6" t="n">
        <v>9500</v>
      </c>
      <c r="E10" s="6">
        <f>IF(D10&lt;=8000, D10*0.1, IF(D10&gt;20000, D10*0.2, D10*0.15))</f>
        <v/>
      </c>
      <c r="F10" s="6">
        <f>D10-E10</f>
        <v/>
      </c>
    </row>
    <row r="11">
      <c r="A11" s="3" t="n">
        <v>8</v>
      </c>
      <c r="B11" s="4" t="inlineStr">
        <is>
          <t>8901234567</t>
        </is>
      </c>
      <c r="C11" s="5" t="inlineStr">
        <is>
          <t>Морозенко Дмитро</t>
        </is>
      </c>
      <c r="D11" s="6" t="n">
        <v>18000</v>
      </c>
      <c r="E11" s="6">
        <f>IF(D11&lt;=8000, D11*0.1, IF(D11&gt;20000, D11*0.2, D11*0.15))</f>
        <v/>
      </c>
      <c r="F11" s="6">
        <f>D11-E11</f>
        <v/>
      </c>
    </row>
    <row r="12">
      <c r="A12" s="3" t="n">
        <v>9</v>
      </c>
      <c r="B12" s="4" t="inlineStr">
        <is>
          <t>9012345678</t>
        </is>
      </c>
      <c r="C12" s="5" t="inlineStr">
        <is>
          <t>Лисенко Катерина</t>
        </is>
      </c>
      <c r="D12" s="6" t="n">
        <v>22000</v>
      </c>
      <c r="E12" s="6">
        <f>IF(D12&lt;=8000, D12*0.1, IF(D12&gt;20000, D12*0.2, D12*0.15))</f>
        <v/>
      </c>
      <c r="F12" s="6">
        <f>D12-E12</f>
        <v/>
      </c>
    </row>
    <row r="13">
      <c r="A13" s="3" t="n">
        <v>10</v>
      </c>
      <c r="B13" s="4" t="inlineStr">
        <is>
          <t>0123456789</t>
        </is>
      </c>
      <c r="C13" s="5" t="inlineStr">
        <is>
          <t>Гриценко Сергій</t>
        </is>
      </c>
      <c r="D13" s="6" t="n">
        <v>11000</v>
      </c>
      <c r="E13" s="6">
        <f>IF(D13&lt;=8000, D13*0.1, IF(D13&gt;20000, D13*0.2, D13*0.15))</f>
        <v/>
      </c>
      <c r="F13" s="6">
        <f>D13-E13</f>
        <v/>
      </c>
    </row>
    <row r="14">
      <c r="A14" s="3" t="n">
        <v>11</v>
      </c>
      <c r="B14" s="4" t="inlineStr">
        <is>
          <t>1122334455</t>
        </is>
      </c>
      <c r="C14" s="5" t="inlineStr">
        <is>
          <t>Савченко Оксана</t>
        </is>
      </c>
      <c r="D14" s="6" t="n">
        <v>16000</v>
      </c>
      <c r="E14" s="6">
        <f>IF(D14&lt;=8000, D14*0.1, IF(D14&gt;20000, D14*0.2, D14*0.15))</f>
        <v/>
      </c>
      <c r="F14" s="6">
        <f>D14-E14</f>
        <v/>
      </c>
    </row>
    <row r="15">
      <c r="A15" s="3" t="n">
        <v>12</v>
      </c>
      <c r="B15" s="4" t="inlineStr">
        <is>
          <t>2233445566</t>
        </is>
      </c>
      <c r="C15" s="5" t="inlineStr">
        <is>
          <t>Романенко Віктор</t>
        </is>
      </c>
      <c r="D15" s="6" t="n">
        <v>19000</v>
      </c>
      <c r="E15" s="6">
        <f>IF(D15&lt;=8000, D15*0.1, IF(D15&gt;20000, D15*0.2, D15*0.15))</f>
        <v/>
      </c>
      <c r="F15" s="6">
        <f>D15-E15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8" customWidth="1" min="4" max="4"/>
    <col width="35" customWidth="1" min="5" max="5"/>
  </cols>
  <sheetData>
    <row r="1">
      <c r="A1" s="1" t="inlineStr">
        <is>
          <t>Статистика ІТ-галузі в Україні</t>
        </is>
      </c>
    </row>
    <row r="3" ht="50" customHeight="1">
      <c r="A3" s="2" t="inlineStr">
        <is>
          <t>Область</t>
        </is>
      </c>
      <c r="B3" s="2" t="inlineStr">
        <is>
          <t>Кількість ФОП-чоловіки</t>
        </is>
      </c>
      <c r="C3" s="2" t="inlineStr">
        <is>
          <t>Кількість ФОП-жінки</t>
        </is>
      </c>
      <c r="D3" s="2" t="inlineStr">
        <is>
          <t>Відсоток ФОП-чоловіки (%)</t>
        </is>
      </c>
      <c r="E3" s="2" t="inlineStr">
        <is>
          <t>Сума сплачених податків ФОП-ІТ (грн.)</t>
        </is>
      </c>
    </row>
    <row r="4">
      <c r="A4" s="5" t="inlineStr">
        <is>
          <t>Київська</t>
        </is>
      </c>
      <c r="B4" s="7" t="n">
        <v>1250</v>
      </c>
      <c r="C4" s="7" t="n">
        <v>450</v>
      </c>
      <c r="D4" s="8">
        <f>B4/(B4+C4)*100</f>
        <v/>
      </c>
      <c r="E4" s="7" t="n">
        <v>500000</v>
      </c>
    </row>
    <row r="5">
      <c r="A5" s="5" t="inlineStr">
        <is>
          <t>Харківська</t>
        </is>
      </c>
      <c r="B5" s="7" t="n">
        <v>890</v>
      </c>
      <c r="C5" s="7" t="n">
        <v>320</v>
      </c>
      <c r="D5" s="8">
        <f>B5/(B5+C5)*100</f>
        <v/>
      </c>
      <c r="E5" s="7" t="n">
        <v>380000</v>
      </c>
    </row>
    <row r="6">
      <c r="A6" s="5" t="inlineStr">
        <is>
          <t>Одеська</t>
        </is>
      </c>
      <c r="B6" s="7" t="n">
        <v>750</v>
      </c>
      <c r="C6" s="7" t="n">
        <v>280</v>
      </c>
      <c r="D6" s="8">
        <f>B6/(B6+C6)*100</f>
        <v/>
      </c>
      <c r="E6" s="7" t="n">
        <v>320000</v>
      </c>
    </row>
    <row r="7">
      <c r="A7" s="5" t="inlineStr">
        <is>
          <t>Дніпропетровська</t>
        </is>
      </c>
      <c r="B7" s="7" t="n">
        <v>680</v>
      </c>
      <c r="C7" s="7" t="n">
        <v>250</v>
      </c>
      <c r="D7" s="8">
        <f>B7/(B7+C7)*100</f>
        <v/>
      </c>
      <c r="E7" s="7" t="n">
        <v>290000</v>
      </c>
    </row>
    <row r="8">
      <c r="A8" s="5" t="inlineStr">
        <is>
          <t>Львівська</t>
        </is>
      </c>
      <c r="B8" s="7" t="n">
        <v>920</v>
      </c>
      <c r="C8" s="7" t="n">
        <v>340</v>
      </c>
      <c r="D8" s="8">
        <f>B8/(B8+C8)*100</f>
        <v/>
      </c>
      <c r="E8" s="7" t="n">
        <v>420000</v>
      </c>
    </row>
    <row r="9">
      <c r="A9" s="5" t="inlineStr">
        <is>
          <t>Чернігівська</t>
        </is>
      </c>
      <c r="B9" s="7" t="n">
        <v>420</v>
      </c>
      <c r="C9" s="7" t="n">
        <v>180</v>
      </c>
      <c r="D9" s="8">
        <f>B9/(B9+C9)*100</f>
        <v/>
      </c>
      <c r="E9" s="7" t="n">
        <v>180000</v>
      </c>
    </row>
    <row r="10">
      <c r="A10" s="5" t="inlineStr">
        <is>
          <t>Черкаська</t>
        </is>
      </c>
      <c r="B10" s="7" t="n">
        <v>380</v>
      </c>
      <c r="C10" s="7" t="n">
        <v>150</v>
      </c>
      <c r="D10" s="8">
        <f>B10/(B10+C10)*100</f>
        <v/>
      </c>
      <c r="E10" s="7" t="n">
        <v>160000</v>
      </c>
    </row>
    <row r="11">
      <c r="A11" s="5" t="inlineStr">
        <is>
          <t>Чернівецька</t>
        </is>
      </c>
      <c r="B11" s="7" t="n">
        <v>350</v>
      </c>
      <c r="C11" s="7" t="n">
        <v>140</v>
      </c>
      <c r="D11" s="8">
        <f>B11/(B11+C11)*100</f>
        <v/>
      </c>
      <c r="E11" s="7" t="n">
        <v>150000</v>
      </c>
    </row>
    <row r="12">
      <c r="A12" s="5" t="inlineStr">
        <is>
          <t>Вінницька</t>
        </is>
      </c>
      <c r="B12" s="7" t="n">
        <v>450</v>
      </c>
      <c r="C12" s="7" t="n">
        <v>190</v>
      </c>
      <c r="D12" s="8">
        <f>B12/(B12+C12)*100</f>
        <v/>
      </c>
      <c r="E12" s="7" t="n">
        <v>200000</v>
      </c>
    </row>
    <row r="13">
      <c r="A13" s="5" t="inlineStr">
        <is>
          <t>Запорізька</t>
        </is>
      </c>
      <c r="B13" s="7" t="n">
        <v>520</v>
      </c>
      <c r="C13" s="7" t="n">
        <v>200</v>
      </c>
      <c r="D13" s="8">
        <f>B13/(B13+C13)*100</f>
        <v/>
      </c>
      <c r="E13" s="7" t="n">
        <v>220000</v>
      </c>
    </row>
    <row r="14">
      <c r="A14" s="5" t="inlineStr">
        <is>
          <t>Полтавська</t>
        </is>
      </c>
      <c r="B14" s="7" t="n">
        <v>480</v>
      </c>
      <c r="C14" s="7" t="n">
        <v>180</v>
      </c>
      <c r="D14" s="8">
        <f>B14/(B14+C14)*100</f>
        <v/>
      </c>
      <c r="E14" s="7" t="n">
        <v>200000</v>
      </c>
    </row>
    <row r="15">
      <c r="A15" s="5" t="inlineStr">
        <is>
          <t>Сумська</t>
        </is>
      </c>
      <c r="B15" s="7" t="n">
        <v>320</v>
      </c>
      <c r="C15" s="7" t="n">
        <v>130</v>
      </c>
      <c r="D15" s="8">
        <f>B15/(B15+C15)*100</f>
        <v/>
      </c>
      <c r="E15" s="7" t="n">
        <v>140000</v>
      </c>
    </row>
    <row r="16">
      <c r="A16" s="5" t="inlineStr">
        <is>
          <t>Тернопільська</t>
        </is>
      </c>
      <c r="B16" s="7" t="n">
        <v>410</v>
      </c>
      <c r="C16" s="7" t="n">
        <v>160</v>
      </c>
      <c r="D16" s="8">
        <f>B16/(B16+C16)*100</f>
        <v/>
      </c>
      <c r="E16" s="7" t="n">
        <v>175000</v>
      </c>
    </row>
    <row r="17">
      <c r="A17" s="5" t="inlineStr">
        <is>
          <t>Хмельницька</t>
        </is>
      </c>
      <c r="B17" s="7" t="n">
        <v>390</v>
      </c>
      <c r="C17" s="7" t="n">
        <v>150</v>
      </c>
      <c r="D17" s="8">
        <f>B17/(B17+C17)*100</f>
        <v/>
      </c>
      <c r="E17" s="7" t="n">
        <v>165000</v>
      </c>
    </row>
    <row r="18">
      <c r="A18" s="5" t="inlineStr">
        <is>
          <t>Житомирська</t>
        </is>
      </c>
      <c r="B18" s="7" t="n">
        <v>360</v>
      </c>
      <c r="C18" s="7" t="n">
        <v>140</v>
      </c>
      <c r="D18" s="8">
        <f>B18/(B18+C18)*100</f>
        <v/>
      </c>
      <c r="E18" s="7" t="n">
        <v>155000</v>
      </c>
    </row>
  </sheetData>
  <autoFilter ref="A3:E1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8" customWidth="1" min="4" max="4"/>
    <col width="35" customWidth="1" min="5" max="5"/>
  </cols>
  <sheetData>
    <row r="1">
      <c r="A1" s="1" t="inlineStr">
        <is>
          <t>Статистика ІТ-галузі в Україні</t>
        </is>
      </c>
    </row>
    <row r="3" ht="50" customHeight="1">
      <c r="A3" s="2" t="inlineStr">
        <is>
          <t>Область</t>
        </is>
      </c>
      <c r="B3" s="2" t="inlineStr">
        <is>
          <t>Кількість ФОП-чоловіки</t>
        </is>
      </c>
      <c r="C3" s="2" t="inlineStr">
        <is>
          <t>Кількість ФОП-жінки</t>
        </is>
      </c>
      <c r="D3" s="2" t="inlineStr">
        <is>
          <t>Відсоток ФОП-чоловіки (%)</t>
        </is>
      </c>
      <c r="E3" s="2" t="inlineStr">
        <is>
          <t>Сума сплачених податків ФОП-ІТ (грн.)</t>
        </is>
      </c>
    </row>
    <row r="4">
      <c r="A4" s="5" t="inlineStr">
        <is>
          <t>Київська</t>
        </is>
      </c>
      <c r="B4" s="7" t="n">
        <v>1250</v>
      </c>
      <c r="C4" s="7" t="n">
        <v>450</v>
      </c>
      <c r="D4" s="8">
        <f>B4/(B4+C4)*100</f>
        <v/>
      </c>
      <c r="E4" s="7" t="n">
        <v>500000</v>
      </c>
    </row>
    <row r="5">
      <c r="A5" s="5" t="inlineStr">
        <is>
          <t>Харківська</t>
        </is>
      </c>
      <c r="B5" s="7" t="n">
        <v>890</v>
      </c>
      <c r="C5" s="7" t="n">
        <v>320</v>
      </c>
      <c r="D5" s="8">
        <f>B5/(B5+C5)*100</f>
        <v/>
      </c>
      <c r="E5" s="7" t="n">
        <v>380000</v>
      </c>
    </row>
    <row r="6">
      <c r="A6" s="5" t="inlineStr">
        <is>
          <t>Одеська</t>
        </is>
      </c>
      <c r="B6" s="7" t="n">
        <v>750</v>
      </c>
      <c r="C6" s="7" t="n">
        <v>280</v>
      </c>
      <c r="D6" s="8">
        <f>B6/(B6+C6)*100</f>
        <v/>
      </c>
      <c r="E6" s="7" t="n">
        <v>320000</v>
      </c>
    </row>
    <row r="7">
      <c r="A7" s="5" t="inlineStr">
        <is>
          <t>Дніпропетровська</t>
        </is>
      </c>
      <c r="B7" s="7" t="n">
        <v>680</v>
      </c>
      <c r="C7" s="7" t="n">
        <v>250</v>
      </c>
      <c r="D7" s="8">
        <f>B7/(B7+C7)*100</f>
        <v/>
      </c>
      <c r="E7" s="7" t="n">
        <v>290000</v>
      </c>
    </row>
    <row r="8">
      <c r="A8" s="5" t="inlineStr">
        <is>
          <t>Львівська</t>
        </is>
      </c>
      <c r="B8" s="7" t="n">
        <v>920</v>
      </c>
      <c r="C8" s="7" t="n">
        <v>340</v>
      </c>
      <c r="D8" s="8">
        <f>B8/(B8+C8)*100</f>
        <v/>
      </c>
      <c r="E8" s="7" t="n">
        <v>420000</v>
      </c>
    </row>
    <row r="9">
      <c r="A9" s="5" t="inlineStr">
        <is>
          <t>Чернігівська</t>
        </is>
      </c>
      <c r="B9" s="7" t="n">
        <v>420</v>
      </c>
      <c r="C9" s="7" t="n">
        <v>180</v>
      </c>
      <c r="D9" s="8">
        <f>B9/(B9+C9)*100</f>
        <v/>
      </c>
      <c r="E9" s="7" t="n">
        <v>180000</v>
      </c>
    </row>
    <row r="10">
      <c r="A10" s="5" t="inlineStr">
        <is>
          <t>Черкаська</t>
        </is>
      </c>
      <c r="B10" s="7" t="n">
        <v>380</v>
      </c>
      <c r="C10" s="7" t="n">
        <v>150</v>
      </c>
      <c r="D10" s="8">
        <f>B10/(B10+C10)*100</f>
        <v/>
      </c>
      <c r="E10" s="7" t="n">
        <v>160000</v>
      </c>
    </row>
    <row r="11">
      <c r="A11" s="5" t="inlineStr">
        <is>
          <t>Чернівецька</t>
        </is>
      </c>
      <c r="B11" s="7" t="n">
        <v>350</v>
      </c>
      <c r="C11" s="7" t="n">
        <v>140</v>
      </c>
      <c r="D11" s="8">
        <f>B11/(B11+C11)*100</f>
        <v/>
      </c>
      <c r="E11" s="7" t="n">
        <v>150000</v>
      </c>
    </row>
    <row r="12">
      <c r="A12" s="5" t="inlineStr">
        <is>
          <t>Вінницька</t>
        </is>
      </c>
      <c r="B12" s="7" t="n">
        <v>450</v>
      </c>
      <c r="C12" s="7" t="n">
        <v>190</v>
      </c>
      <c r="D12" s="8">
        <f>B12/(B12+C12)*100</f>
        <v/>
      </c>
      <c r="E12" s="7" t="n">
        <v>200000</v>
      </c>
    </row>
    <row r="13">
      <c r="A13" s="5" t="inlineStr">
        <is>
          <t>Запорізька</t>
        </is>
      </c>
      <c r="B13" s="7" t="n">
        <v>520</v>
      </c>
      <c r="C13" s="7" t="n">
        <v>200</v>
      </c>
      <c r="D13" s="8">
        <f>B13/(B13+C13)*100</f>
        <v/>
      </c>
      <c r="E13" s="7" t="n">
        <v>220000</v>
      </c>
    </row>
    <row r="14">
      <c r="A14" s="5" t="inlineStr">
        <is>
          <t>Полтавська</t>
        </is>
      </c>
      <c r="B14" s="7" t="n">
        <v>480</v>
      </c>
      <c r="C14" s="7" t="n">
        <v>180</v>
      </c>
      <c r="D14" s="8">
        <f>B14/(B14+C14)*100</f>
        <v/>
      </c>
      <c r="E14" s="7" t="n">
        <v>200000</v>
      </c>
    </row>
    <row r="15">
      <c r="A15" s="5" t="inlineStr">
        <is>
          <t>Сумська</t>
        </is>
      </c>
      <c r="B15" s="7" t="n">
        <v>320</v>
      </c>
      <c r="C15" s="7" t="n">
        <v>130</v>
      </c>
      <c r="D15" s="8">
        <f>B15/(B15+C15)*100</f>
        <v/>
      </c>
      <c r="E15" s="7" t="n">
        <v>140000</v>
      </c>
    </row>
    <row r="16">
      <c r="A16" s="5" t="inlineStr">
        <is>
          <t>Тернопільська</t>
        </is>
      </c>
      <c r="B16" s="7" t="n">
        <v>410</v>
      </c>
      <c r="C16" s="7" t="n">
        <v>160</v>
      </c>
      <c r="D16" s="8">
        <f>B16/(B16+C16)*100</f>
        <v/>
      </c>
      <c r="E16" s="7" t="n">
        <v>175000</v>
      </c>
    </row>
    <row r="17">
      <c r="A17" s="5" t="inlineStr">
        <is>
          <t>Хмельницька</t>
        </is>
      </c>
      <c r="B17" s="7" t="n">
        <v>390</v>
      </c>
      <c r="C17" s="7" t="n">
        <v>150</v>
      </c>
      <c r="D17" s="8">
        <f>B17/(B17+C17)*100</f>
        <v/>
      </c>
      <c r="E17" s="7" t="n">
        <v>165000</v>
      </c>
    </row>
    <row r="18">
      <c r="A18" s="5" t="inlineStr">
        <is>
          <t>Житомирська</t>
        </is>
      </c>
      <c r="B18" s="7" t="n">
        <v>360</v>
      </c>
      <c r="C18" s="7" t="n">
        <v>140</v>
      </c>
      <c r="D18" s="8">
        <f>B18/(B18+C18)*100</f>
        <v/>
      </c>
      <c r="E18" s="7" t="n">
        <v>155000</v>
      </c>
    </row>
  </sheetData>
  <autoFilter ref="A3:E18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28" customWidth="1" min="5" max="5"/>
    <col width="18" customWidth="1" min="6" max="6"/>
  </cols>
  <sheetData>
    <row r="1">
      <c r="A1" s="1" t="inlineStr">
        <is>
          <t>Діяльність працівників фірми ІТ-Market@</t>
        </is>
      </c>
    </row>
    <row r="3" ht="50" customHeight="1">
      <c r="A3" s="2" t="inlineStr">
        <is>
          <t>Прізвище</t>
        </is>
      </c>
      <c r="B3" s="2" t="inlineStr">
        <is>
          <t>Ім'я</t>
        </is>
      </c>
      <c r="C3" s="2" t="inlineStr">
        <is>
          <t>Посада</t>
        </is>
      </c>
      <c r="D3" s="2" t="inlineStr">
        <is>
          <t>Стаж роботи (роки)</t>
        </is>
      </c>
      <c r="E3" s="2" t="inlineStr">
        <is>
          <t>Внесок у розвиток фірми ($)</t>
        </is>
      </c>
      <c r="F3" s="2" t="inlineStr">
        <is>
          <t>Оцінка роботи</t>
        </is>
      </c>
    </row>
    <row r="4">
      <c r="A4" s="5" t="inlineStr">
        <is>
          <t>Іваненко</t>
        </is>
      </c>
      <c r="B4" s="5" t="inlineStr">
        <is>
          <t>Іван</t>
        </is>
      </c>
      <c r="C4" s="5" t="inlineStr">
        <is>
          <t>Розробник</t>
        </is>
      </c>
      <c r="D4" s="5" t="n">
        <v>5</v>
      </c>
      <c r="E4" s="7" t="n">
        <v>850</v>
      </c>
      <c r="F4" s="5" t="inlineStr">
        <is>
          <t>Відмінно</t>
        </is>
      </c>
    </row>
    <row r="5">
      <c r="A5" s="5" t="inlineStr">
        <is>
          <t>Петренко</t>
        </is>
      </c>
      <c r="B5" s="5" t="inlineStr">
        <is>
          <t>Петро</t>
        </is>
      </c>
      <c r="C5" s="5" t="inlineStr">
        <is>
          <t>Тестувальник</t>
        </is>
      </c>
      <c r="D5" s="5" t="n">
        <v>3</v>
      </c>
      <c r="E5" s="7" t="n">
        <v>600</v>
      </c>
      <c r="F5" s="5" t="inlineStr">
        <is>
          <t>Добре</t>
        </is>
      </c>
    </row>
    <row r="6">
      <c r="A6" s="5" t="inlineStr">
        <is>
          <t>Коваленко</t>
        </is>
      </c>
      <c r="B6" s="5" t="inlineStr">
        <is>
          <t>Олена</t>
        </is>
      </c>
      <c r="C6" s="5" t="inlineStr">
        <is>
          <t>Дизайнер</t>
        </is>
      </c>
      <c r="D6" s="5" t="n">
        <v>4</v>
      </c>
      <c r="E6" s="7" t="n">
        <v>750</v>
      </c>
      <c r="F6" s="5" t="inlineStr">
        <is>
          <t>Відмінно</t>
        </is>
      </c>
    </row>
    <row r="7">
      <c r="A7" s="5" t="inlineStr">
        <is>
          <t>Мельник</t>
        </is>
      </c>
      <c r="B7" s="5" t="inlineStr">
        <is>
          <t>Андрій</t>
        </is>
      </c>
      <c r="C7" s="5" t="inlineStr">
        <is>
          <t>Розробник</t>
        </is>
      </c>
      <c r="D7" s="5" t="n">
        <v>6</v>
      </c>
      <c r="E7" s="7" t="n">
        <v>950</v>
      </c>
      <c r="F7" s="5" t="inlineStr">
        <is>
          <t>Відмінно</t>
        </is>
      </c>
    </row>
    <row r="8">
      <c r="A8" s="5" t="inlineStr">
        <is>
          <t>Шевченко</t>
        </is>
      </c>
      <c r="B8" s="5" t="inlineStr">
        <is>
          <t>Марія</t>
        </is>
      </c>
      <c r="C8" s="5" t="inlineStr">
        <is>
          <t>Менеджер</t>
        </is>
      </c>
      <c r="D8" s="5" t="n">
        <v>2</v>
      </c>
      <c r="E8" s="7" t="n">
        <v>500</v>
      </c>
      <c r="F8" s="5" t="inlineStr">
        <is>
          <t>Добре</t>
        </is>
      </c>
    </row>
    <row r="9">
      <c r="A9" s="5" t="inlineStr">
        <is>
          <t>Бондаренко</t>
        </is>
      </c>
      <c r="B9" s="5" t="inlineStr">
        <is>
          <t>Олександр</t>
        </is>
      </c>
      <c r="C9" s="5" t="inlineStr">
        <is>
          <t>Розробник</t>
        </is>
      </c>
      <c r="D9" s="5" t="n">
        <v>7</v>
      </c>
      <c r="E9" s="7" t="n">
        <v>1100</v>
      </c>
      <c r="F9" s="5" t="inlineStr">
        <is>
          <t>Відмінно</t>
        </is>
      </c>
    </row>
    <row r="10">
      <c r="A10" s="5" t="inlineStr">
        <is>
          <t>Ткаченко</t>
        </is>
      </c>
      <c r="B10" s="5" t="inlineStr">
        <is>
          <t>Наталія</t>
        </is>
      </c>
      <c r="C10" s="5" t="inlineStr">
        <is>
          <t>Тестувальник</t>
        </is>
      </c>
      <c r="D10" s="5" t="n">
        <v>4</v>
      </c>
      <c r="E10" s="7" t="n">
        <v>650</v>
      </c>
      <c r="F10" s="5" t="inlineStr">
        <is>
          <t>Добре</t>
        </is>
      </c>
    </row>
    <row r="11">
      <c r="A11" s="5" t="inlineStr">
        <is>
          <t>Морозенко</t>
        </is>
      </c>
      <c r="B11" s="5" t="inlineStr">
        <is>
          <t>Дмитро</t>
        </is>
      </c>
      <c r="C11" s="5" t="inlineStr">
        <is>
          <t>Розробник</t>
        </is>
      </c>
      <c r="D11" s="5" t="n">
        <v>5</v>
      </c>
      <c r="E11" s="7" t="n">
        <v>800</v>
      </c>
      <c r="F11" s="5" t="inlineStr">
        <is>
          <t>Відмінно</t>
        </is>
      </c>
    </row>
    <row r="12">
      <c r="A12" s="5" t="inlineStr">
        <is>
          <t>Лисенко</t>
        </is>
      </c>
      <c r="B12" s="5" t="inlineStr">
        <is>
          <t>Катерина</t>
        </is>
      </c>
      <c r="C12" s="5" t="inlineStr">
        <is>
          <t>Дизайнер</t>
        </is>
      </c>
      <c r="D12" s="5" t="n">
        <v>3</v>
      </c>
      <c r="E12" s="7" t="n">
        <v>550</v>
      </c>
      <c r="F12" s="5" t="inlineStr">
        <is>
          <t>Добре</t>
        </is>
      </c>
    </row>
    <row r="13">
      <c r="A13" s="5" t="inlineStr">
        <is>
          <t>Гриценко</t>
        </is>
      </c>
      <c r="B13" s="5" t="inlineStr">
        <is>
          <t>Сергій</t>
        </is>
      </c>
      <c r="C13" s="5" t="inlineStr">
        <is>
          <t>Розробник</t>
        </is>
      </c>
      <c r="D13" s="5" t="n">
        <v>4</v>
      </c>
      <c r="E13" s="7" t="n">
        <v>720</v>
      </c>
      <c r="F13" s="5" t="inlineStr">
        <is>
          <t>Добре</t>
        </is>
      </c>
    </row>
    <row r="14">
      <c r="A14" s="5" t="inlineStr">
        <is>
          <t>Савченко</t>
        </is>
      </c>
      <c r="B14" s="5" t="inlineStr">
        <is>
          <t>Оксана</t>
        </is>
      </c>
      <c r="C14" s="5" t="inlineStr">
        <is>
          <t>Менеджер</t>
        </is>
      </c>
      <c r="D14" s="5" t="n">
        <v>3</v>
      </c>
      <c r="E14" s="7" t="n">
        <v>580</v>
      </c>
      <c r="F14" s="5" t="inlineStr">
        <is>
          <t>Добре</t>
        </is>
      </c>
    </row>
    <row r="15">
      <c r="A15" s="5" t="inlineStr">
        <is>
          <t>Романенко</t>
        </is>
      </c>
      <c r="B15" s="5" t="inlineStr">
        <is>
          <t>Віктор</t>
        </is>
      </c>
      <c r="C15" s="5" t="inlineStr">
        <is>
          <t>Розробник</t>
        </is>
      </c>
      <c r="D15" s="5" t="n">
        <v>6</v>
      </c>
      <c r="E15" s="7" t="n">
        <v>900</v>
      </c>
      <c r="F15" s="5" t="inlineStr">
        <is>
          <t>Відмінно</t>
        </is>
      </c>
    </row>
    <row r="16">
      <c r="A16" s="5" t="inlineStr">
        <is>
          <t>Василенко</t>
        </is>
      </c>
      <c r="B16" s="5" t="inlineStr">
        <is>
          <t>Олег</t>
        </is>
      </c>
      <c r="C16" s="5" t="inlineStr">
        <is>
          <t>Тестувальник</t>
        </is>
      </c>
      <c r="D16" s="5" t="n">
        <v>5</v>
      </c>
      <c r="E16" s="7" t="n">
        <v>700</v>
      </c>
      <c r="F16" s="5" t="inlineStr">
        <is>
          <t>Добре</t>
        </is>
      </c>
    </row>
    <row r="17">
      <c r="A17" s="5" t="inlineStr">
        <is>
          <t>Білоус</t>
        </is>
      </c>
      <c r="B17" s="5" t="inlineStr">
        <is>
          <t>Тетяна</t>
        </is>
      </c>
      <c r="C17" s="5" t="inlineStr">
        <is>
          <t>Дизайнер</t>
        </is>
      </c>
      <c r="D17" s="5" t="n">
        <v>4</v>
      </c>
      <c r="E17" s="7" t="n">
        <v>680</v>
      </c>
      <c r="F17" s="5" t="inlineStr">
        <is>
          <t>Добре</t>
        </is>
      </c>
    </row>
    <row r="18">
      <c r="A18" s="5" t="inlineStr">
        <is>
          <t>Петренко</t>
        </is>
      </c>
      <c r="B18" s="5" t="inlineStr">
        <is>
          <t>Максим</t>
        </is>
      </c>
      <c r="C18" s="5" t="inlineStr">
        <is>
          <t>Розробник</t>
        </is>
      </c>
      <c r="D18" s="5" t="n">
        <v>3</v>
      </c>
      <c r="E18" s="7" t="n">
        <v>620</v>
      </c>
      <c r="F18" s="5" t="inlineStr">
        <is>
          <t>Добре</t>
        </is>
      </c>
    </row>
    <row r="19">
      <c r="A19" s="5" t="inlineStr">
        <is>
          <t>Бондар</t>
        </is>
      </c>
      <c r="B19" s="5" t="inlineStr">
        <is>
          <t>Юлія</t>
        </is>
      </c>
      <c r="C19" s="5" t="inlineStr">
        <is>
          <t>Менеджер</t>
        </is>
      </c>
      <c r="D19" s="5" t="n">
        <v>2</v>
      </c>
      <c r="E19" s="7" t="n">
        <v>480</v>
      </c>
      <c r="F19" s="5" t="inlineStr">
        <is>
          <t>Задовільно</t>
        </is>
      </c>
    </row>
    <row r="20">
      <c r="A20" s="5" t="inlineStr">
        <is>
          <t>Петренко</t>
        </is>
      </c>
      <c r="B20" s="5" t="inlineStr">
        <is>
          <t>Ірина</t>
        </is>
      </c>
      <c r="C20" s="5" t="inlineStr">
        <is>
          <t>Тестувальник</t>
        </is>
      </c>
      <c r="D20" s="5" t="n">
        <v>4</v>
      </c>
      <c r="E20" s="7" t="n">
        <v>660</v>
      </c>
      <c r="F20" s="5" t="inlineStr">
        <is>
          <t>Добре</t>
        </is>
      </c>
    </row>
    <row r="21">
      <c r="A21" s="5" t="inlineStr">
        <is>
          <t>Біленко</t>
        </is>
      </c>
      <c r="B21" s="5" t="inlineStr">
        <is>
          <t>Олексій</t>
        </is>
      </c>
      <c r="C21" s="5" t="inlineStr">
        <is>
          <t>Розробник</t>
        </is>
      </c>
      <c r="D21" s="5" t="n">
        <v>5</v>
      </c>
      <c r="E21" s="7" t="n">
        <v>820</v>
      </c>
      <c r="F21" s="5" t="inlineStr">
        <is>
          <t>Відмінно</t>
        </is>
      </c>
    </row>
    <row r="22">
      <c r="A22" s="5" t="inlineStr">
        <is>
          <t>Петренко</t>
        </is>
      </c>
      <c r="B22" s="5" t="inlineStr">
        <is>
          <t>Анна</t>
        </is>
      </c>
      <c r="C22" s="5" t="inlineStr">
        <is>
          <t>Дизайнер</t>
        </is>
      </c>
      <c r="D22" s="5" t="n">
        <v>3</v>
      </c>
      <c r="E22" s="7" t="n">
        <v>590</v>
      </c>
      <c r="F22" s="5" t="inlineStr">
        <is>
          <t>Добре</t>
        </is>
      </c>
    </row>
    <row r="23">
      <c r="A23" s="5" t="inlineStr">
        <is>
          <t>Бойко</t>
        </is>
      </c>
      <c r="B23" s="5" t="inlineStr">
        <is>
          <t>Володимир</t>
        </is>
      </c>
      <c r="C23" s="5" t="inlineStr">
        <is>
          <t>Розробник</t>
        </is>
      </c>
      <c r="D23" s="5" t="n">
        <v>7</v>
      </c>
      <c r="E23" s="7" t="n">
        <v>1050</v>
      </c>
      <c r="F23" s="5" t="inlineStr">
        <is>
          <t>Відмінно</t>
        </is>
      </c>
    </row>
    <row r="24">
      <c r="A24" s="5" t="inlineStr">
        <is>
          <t>Іванов</t>
        </is>
      </c>
      <c r="B24" s="5" t="inlineStr">
        <is>
          <t>Іван</t>
        </is>
      </c>
      <c r="C24" s="5" t="inlineStr">
        <is>
          <t>Тестувальник</t>
        </is>
      </c>
      <c r="D24" s="5" t="n">
        <v>4</v>
      </c>
      <c r="E24" s="7" t="n">
        <v>680</v>
      </c>
      <c r="F24" s="5" t="inlineStr">
        <is>
          <t>Добре</t>
        </is>
      </c>
    </row>
    <row r="25">
      <c r="A25" s="5" t="inlineStr">
        <is>
          <t>Петров</t>
        </is>
      </c>
      <c r="B25" s="5" t="inlineStr">
        <is>
          <t>Петро</t>
        </is>
      </c>
      <c r="C25" s="5" t="inlineStr">
        <is>
          <t>Дизайнер</t>
        </is>
      </c>
      <c r="D25" s="5" t="n">
        <v>3</v>
      </c>
      <c r="E25" s="7" t="n">
        <v>560</v>
      </c>
      <c r="F25" s="5" t="inlineStr">
        <is>
          <t>Добре</t>
        </is>
      </c>
    </row>
    <row r="26">
      <c r="A26" s="5" t="inlineStr">
        <is>
          <t>Іващенко</t>
        </is>
      </c>
      <c r="B26" s="5" t="inlineStr">
        <is>
          <t>Іван</t>
        </is>
      </c>
      <c r="C26" s="5" t="inlineStr">
        <is>
          <t>Менеджер</t>
        </is>
      </c>
      <c r="D26" s="5" t="n">
        <v>2</v>
      </c>
      <c r="E26" s="7" t="n">
        <v>520</v>
      </c>
      <c r="F26" s="5" t="inlineStr">
        <is>
          <t>Добре</t>
        </is>
      </c>
    </row>
    <row r="27">
      <c r="A27" s="5" t="inlineStr">
        <is>
          <t>Петрушенко</t>
        </is>
      </c>
      <c r="B27" s="5" t="inlineStr">
        <is>
          <t>Петро</t>
        </is>
      </c>
      <c r="C27" s="5" t="inlineStr">
        <is>
          <t>Розробник</t>
        </is>
      </c>
      <c r="D27" s="5" t="n">
        <v>5</v>
      </c>
      <c r="E27" s="7" t="n">
        <v>780</v>
      </c>
      <c r="F27" s="5" t="inlineStr">
        <is>
          <t>Відмінно</t>
        </is>
      </c>
    </row>
    <row r="28">
      <c r="A28" s="5" t="inlineStr">
        <is>
          <t>Іванчук</t>
        </is>
      </c>
      <c r="B28" s="5" t="inlineStr">
        <is>
          <t>Іван</t>
        </is>
      </c>
      <c r="C28" s="5" t="inlineStr">
        <is>
          <t>Розробник</t>
        </is>
      </c>
      <c r="D28" s="5" t="n">
        <v>6</v>
      </c>
      <c r="E28" s="7" t="n">
        <v>920</v>
      </c>
      <c r="F28" s="5" t="inlineStr">
        <is>
          <t>Відмінно</t>
        </is>
      </c>
    </row>
  </sheetData>
  <autoFilter ref="A3:F2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2025-11-21T17:46:21Z</dcterms:created>
  <dcterms:modified xmlns:dcterms="http://purl.org/dc/terms/" xmlns:xsi="http://www.w3.org/2001/XMLSchema-instance" xsi:type="dcterms:W3CDTF">2025-11-21T17:46:21Z</dcterms:modified>
</cp:coreProperties>
</file>