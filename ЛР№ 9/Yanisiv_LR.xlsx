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а" sheetId="1" state="visible" r:id="rId1"/>
    <sheet xmlns:r="http://schemas.openxmlformats.org/officeDocument/2006/relationships" name="Формули" sheetId="2" state="visible" r:id="rId2"/>
    <sheet xmlns:r="http://schemas.openxmlformats.org/officeDocument/2006/relationships" name="Статистика ІТ" sheetId="3" state="visible" r:id="rId3"/>
    <sheet xmlns:r="http://schemas.openxmlformats.org/officeDocument/2006/relationships" name="Автофільтр" sheetId="4" state="visible" r:id="rId4"/>
    <sheet xmlns:r="http://schemas.openxmlformats.org/officeDocument/2006/relationships" name="Розширений фільтр" sheetId="5" state="visible" r:id="rId5"/>
  </sheets>
  <definedNames>
    <definedName name="_xlnm._FilterDatabase" localSheetId="3" hidden="1">'Автофільтр'!$A$2:$E$22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₴"/>
    <numFmt numFmtId="165" formatCode="#,##0 ₴"/>
    <numFmt numFmtId="166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4" fillId="0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5" customWidth="1" min="4" max="4"/>
    <col width="25" customWidth="1" min="5" max="5"/>
    <col width="20" customWidth="1" min="6" max="6"/>
  </cols>
  <sheetData>
    <row r="1">
      <c r="A1" s="1" t="inlineStr">
        <is>
          <t>Зарплата працівників в ІТ</t>
        </is>
      </c>
    </row>
    <row r="2">
      <c r="A2" s="2" t="inlineStr">
        <is>
          <t>№ п/п</t>
        </is>
      </c>
      <c r="B2" s="2" t="inlineStr">
        <is>
          <t>Ідентифікаційний код</t>
        </is>
      </c>
      <c r="C2" s="2" t="inlineStr">
        <is>
          <t>Прізвище та ім'я</t>
        </is>
      </c>
      <c r="D2" s="2" t="inlineStr">
        <is>
          <t>Нарахована зарплата (грн)</t>
        </is>
      </c>
      <c r="E2" s="2" t="inlineStr">
        <is>
          <t>Податок із зарплати (грн)</t>
        </is>
      </c>
      <c r="F2" s="2" t="inlineStr">
        <is>
          <t>До видачі (грн)</t>
        </is>
      </c>
    </row>
    <row r="3">
      <c r="A3" s="3" t="n">
        <v>1</v>
      </c>
      <c r="B3" s="3" t="inlineStr">
        <is>
          <t>1234567890</t>
        </is>
      </c>
      <c r="C3" s="3" t="inlineStr">
        <is>
          <t>Коваленко Олександр</t>
        </is>
      </c>
      <c r="D3" s="4" t="n">
        <v>7500</v>
      </c>
      <c r="E3" s="4">
        <f>IF(D3&lt;=8000,D3*0.1,IF(D3&gt;20000,D3*0.2,D3*0.15))</f>
        <v/>
      </c>
      <c r="F3" s="4">
        <f>D3-E3</f>
        <v/>
      </c>
    </row>
    <row r="4">
      <c r="A4" s="3" t="n">
        <v>2</v>
      </c>
      <c r="B4" s="3" t="inlineStr">
        <is>
          <t>2345678901</t>
        </is>
      </c>
      <c r="C4" s="3" t="inlineStr">
        <is>
          <t>Шевченко Марія</t>
        </is>
      </c>
      <c r="D4" s="4" t="n">
        <v>12000</v>
      </c>
      <c r="E4" s="4">
        <f>IF(D4&lt;=8000,D4*0.1,IF(D4&gt;20000,D4*0.2,D4*0.15))</f>
        <v/>
      </c>
      <c r="F4" s="4">
        <f>D4-E4</f>
        <v/>
      </c>
    </row>
    <row r="5">
      <c r="A5" s="3" t="n">
        <v>3</v>
      </c>
      <c r="B5" s="3" t="inlineStr">
        <is>
          <t>3456789012</t>
        </is>
      </c>
      <c r="C5" s="3" t="inlineStr">
        <is>
          <t>Бондаренко Іван</t>
        </is>
      </c>
      <c r="D5" s="4" t="n">
        <v>25000</v>
      </c>
      <c r="E5" s="4">
        <f>IF(D5&lt;=8000,D5*0.1,IF(D5&gt;20000,D5*0.2,D5*0.15))</f>
        <v/>
      </c>
      <c r="F5" s="4">
        <f>D5-E5</f>
        <v/>
      </c>
    </row>
    <row r="6">
      <c r="A6" s="3" t="n">
        <v>4</v>
      </c>
      <c r="B6" s="3" t="inlineStr">
        <is>
          <t>4567890123</t>
        </is>
      </c>
      <c r="C6" s="3" t="inlineStr">
        <is>
          <t>Мельник Анна</t>
        </is>
      </c>
      <c r="D6" s="4" t="n">
        <v>8000</v>
      </c>
      <c r="E6" s="4">
        <f>IF(D6&lt;=8000,D6*0.1,IF(D6&gt;20000,D6*0.2,D6*0.15))</f>
        <v/>
      </c>
      <c r="F6" s="4">
        <f>D6-E6</f>
        <v/>
      </c>
    </row>
    <row r="7">
      <c r="A7" s="3" t="n">
        <v>5</v>
      </c>
      <c r="B7" s="3" t="inlineStr">
        <is>
          <t>5678901234</t>
        </is>
      </c>
      <c r="C7" s="3" t="inlineStr">
        <is>
          <t>Ткаченко Петро</t>
        </is>
      </c>
      <c r="D7" s="4" t="n">
        <v>35000</v>
      </c>
      <c r="E7" s="4">
        <f>IF(D7&lt;=8000,D7*0.1,IF(D7&gt;20000,D7*0.2,D7*0.15))</f>
        <v/>
      </c>
      <c r="F7" s="4">
        <f>D7-E7</f>
        <v/>
      </c>
    </row>
    <row r="8">
      <c r="A8" s="3" t="n">
        <v>6</v>
      </c>
      <c r="B8" s="3" t="inlineStr">
        <is>
          <t>6789012345</t>
        </is>
      </c>
      <c r="C8" s="3" t="inlineStr">
        <is>
          <t>Кравченко Олена</t>
        </is>
      </c>
      <c r="D8" s="4" t="n">
        <v>15000</v>
      </c>
      <c r="E8" s="4">
        <f>IF(D8&lt;=8000,D8*0.1,IF(D8&gt;20000,D8*0.2,D8*0.15))</f>
        <v/>
      </c>
      <c r="F8" s="4">
        <f>D8-E8</f>
        <v/>
      </c>
    </row>
    <row r="9">
      <c r="A9" s="3" t="n">
        <v>7</v>
      </c>
      <c r="B9" s="3" t="inlineStr">
        <is>
          <t>7890123456</t>
        </is>
      </c>
      <c r="C9" s="3" t="inlineStr">
        <is>
          <t>Поліщук Андрій</t>
        </is>
      </c>
      <c r="D9" s="4" t="n">
        <v>18500</v>
      </c>
      <c r="E9" s="4">
        <f>IF(D9&lt;=8000,D9*0.1,IF(D9&gt;20000,D9*0.2,D9*0.15))</f>
        <v/>
      </c>
      <c r="F9" s="4">
        <f>D9-E9</f>
        <v/>
      </c>
    </row>
    <row r="10">
      <c r="A10" s="3" t="n">
        <v>8</v>
      </c>
      <c r="B10" s="3" t="inlineStr">
        <is>
          <t>8901234567</t>
        </is>
      </c>
      <c r="C10" s="3" t="inlineStr">
        <is>
          <t>Савченко Юлія</t>
        </is>
      </c>
      <c r="D10" s="4" t="n">
        <v>6500</v>
      </c>
      <c r="E10" s="4">
        <f>IF(D10&lt;=8000,D10*0.1,IF(D10&gt;20000,D10*0.2,D10*0.15))</f>
        <v/>
      </c>
      <c r="F10" s="4">
        <f>D10-E10</f>
        <v/>
      </c>
    </row>
    <row r="11">
      <c r="A11" s="3" t="n">
        <v>9</v>
      </c>
      <c r="B11" s="3" t="inlineStr">
        <is>
          <t>9012345678</t>
        </is>
      </c>
      <c r="C11" s="3" t="inlineStr">
        <is>
          <t>Лисенко Максим</t>
        </is>
      </c>
      <c r="D11" s="4" t="n">
        <v>42000</v>
      </c>
      <c r="E11" s="4">
        <f>IF(D11&lt;=8000,D11*0.1,IF(D11&gt;20000,D11*0.2,D11*0.15))</f>
        <v/>
      </c>
      <c r="F11" s="4">
        <f>D11-E11</f>
        <v/>
      </c>
    </row>
    <row r="12">
      <c r="A12" s="3" t="n">
        <v>10</v>
      </c>
      <c r="B12" s="3" t="inlineStr">
        <is>
          <t>0123456789</t>
        </is>
      </c>
      <c r="C12" s="3" t="inlineStr">
        <is>
          <t>Гончаренко Тетяна</t>
        </is>
      </c>
      <c r="D12" s="4" t="n">
        <v>9500</v>
      </c>
      <c r="E12" s="4">
        <f>IF(D12&lt;=8000,D12*0.1,IF(D12&gt;20000,D12*0.2,D12*0.15))</f>
        <v/>
      </c>
      <c r="F12" s="4">
        <f>D12-E12</f>
        <v/>
      </c>
    </row>
    <row r="13">
      <c r="A13" s="3" t="n">
        <v>11</v>
      </c>
      <c r="B13" s="3" t="inlineStr">
        <is>
          <t>1122334455</t>
        </is>
      </c>
      <c r="C13" s="3" t="inlineStr">
        <is>
          <t>Романенко Дмитро</t>
        </is>
      </c>
      <c r="D13" s="4" t="n">
        <v>28000</v>
      </c>
      <c r="E13" s="4">
        <f>IF(D13&lt;=8000,D13*0.1,IF(D13&gt;20000,D13*0.2,D13*0.15))</f>
        <v/>
      </c>
      <c r="F13" s="4">
        <f>D13-E13</f>
        <v/>
      </c>
    </row>
    <row r="14">
      <c r="A14" s="3" t="n">
        <v>12</v>
      </c>
      <c r="B14" s="3" t="inlineStr">
        <is>
          <t>2233445566</t>
        </is>
      </c>
      <c r="C14" s="3" t="inlineStr">
        <is>
          <t>Кузьменко Вікторія</t>
        </is>
      </c>
      <c r="D14" s="4" t="n">
        <v>11000</v>
      </c>
      <c r="E14" s="4">
        <f>IF(D14&lt;=8000,D14*0.1,IF(D14&gt;20000,D14*0.2,D14*0.15))</f>
        <v/>
      </c>
      <c r="F14" s="4">
        <f>D14-E14</f>
        <v/>
      </c>
    </row>
    <row r="15">
      <c r="C15" s="5" t="inlineStr">
        <is>
          <t>РАЗОМ:</t>
        </is>
      </c>
      <c r="D15" s="6">
        <f>SUM(D3:D14)</f>
        <v/>
      </c>
      <c r="E15" s="6">
        <f>SUM(E3:E14)</f>
        <v/>
      </c>
      <c r="F15" s="6">
        <f>SUM(F3:F14)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0" customWidth="1" min="4" max="4"/>
    <col width="65" customWidth="1" min="5" max="5"/>
    <col width="20" customWidth="1" min="6" max="6"/>
  </cols>
  <sheetData>
    <row r="1">
      <c r="A1" s="7" t="inlineStr">
        <is>
          <t>Зарплата працівників в ІТ (РЕЖИМ ФОРМУЛ)</t>
        </is>
      </c>
    </row>
    <row r="2">
      <c r="A2" s="8" t="inlineStr">
        <is>
          <t>№ п/п</t>
        </is>
      </c>
      <c r="B2" s="8" t="inlineStr">
        <is>
          <t>Ідентифікаційний код</t>
        </is>
      </c>
      <c r="C2" s="8" t="inlineStr">
        <is>
          <t>Прізвище та ім'я</t>
        </is>
      </c>
      <c r="D2" s="8" t="inlineStr">
        <is>
          <t>Нарахована зарплата (грн)</t>
        </is>
      </c>
      <c r="E2" s="8" t="inlineStr">
        <is>
          <t>Податок із зарплати (грн)</t>
        </is>
      </c>
      <c r="F2" s="8" t="inlineStr">
        <is>
          <t>До видачі (грн)</t>
        </is>
      </c>
    </row>
    <row r="3">
      <c r="A3" t="n">
        <v>1</v>
      </c>
      <c r="B3" t="inlineStr">
        <is>
          <t>1234567890</t>
        </is>
      </c>
      <c r="C3" t="inlineStr">
        <is>
          <t>Коваленко Олександр</t>
        </is>
      </c>
      <c r="D3" t="n">
        <v>7500</v>
      </c>
      <c r="E3">
        <f>IF(D3&lt;=8000,D3*0.1,IF(D3&gt;20000,D3*0.2,D3*0.15))</f>
        <v/>
      </c>
      <c r="F3">
        <f>D3-E3</f>
        <v/>
      </c>
    </row>
    <row r="4">
      <c r="A4" t="n">
        <v>2</v>
      </c>
      <c r="B4" t="inlineStr">
        <is>
          <t>2345678901</t>
        </is>
      </c>
      <c r="C4" t="inlineStr">
        <is>
          <t>Шевченко Марія</t>
        </is>
      </c>
      <c r="D4" t="n">
        <v>12000</v>
      </c>
      <c r="E4">
        <f>IF(D4&lt;=8000,D4*0.1,IF(D4&gt;20000,D4*0.2,D4*0.15))</f>
        <v/>
      </c>
      <c r="F4">
        <f>D4-E4</f>
        <v/>
      </c>
    </row>
    <row r="5">
      <c r="A5" t="n">
        <v>3</v>
      </c>
      <c r="B5" t="inlineStr">
        <is>
          <t>3456789012</t>
        </is>
      </c>
      <c r="C5" t="inlineStr">
        <is>
          <t>Бондаренко Іван</t>
        </is>
      </c>
      <c r="D5" t="n">
        <v>25000</v>
      </c>
      <c r="E5">
        <f>IF(D5&lt;=8000,D5*0.1,IF(D5&gt;20000,D5*0.2,D5*0.15))</f>
        <v/>
      </c>
      <c r="F5">
        <f>D5-E5</f>
        <v/>
      </c>
    </row>
    <row r="6">
      <c r="A6" t="n">
        <v>4</v>
      </c>
      <c r="B6" t="inlineStr">
        <is>
          <t>4567890123</t>
        </is>
      </c>
      <c r="C6" t="inlineStr">
        <is>
          <t>Мельник Анна</t>
        </is>
      </c>
      <c r="D6" t="n">
        <v>8000</v>
      </c>
      <c r="E6">
        <f>IF(D6&lt;=8000,D6*0.1,IF(D6&gt;20000,D6*0.2,D6*0.15))</f>
        <v/>
      </c>
      <c r="F6">
        <f>D6-E6</f>
        <v/>
      </c>
    </row>
    <row r="7">
      <c r="A7" t="n">
        <v>5</v>
      </c>
      <c r="B7" t="inlineStr">
        <is>
          <t>5678901234</t>
        </is>
      </c>
      <c r="C7" t="inlineStr">
        <is>
          <t>Ткаченко Петро</t>
        </is>
      </c>
      <c r="D7" t="n">
        <v>35000</v>
      </c>
      <c r="E7">
        <f>IF(D7&lt;=8000,D7*0.1,IF(D7&gt;20000,D7*0.2,D7*0.15))</f>
        <v/>
      </c>
      <c r="F7">
        <f>D7-E7</f>
        <v/>
      </c>
    </row>
    <row r="8">
      <c r="A8" t="n">
        <v>6</v>
      </c>
      <c r="B8" t="inlineStr">
        <is>
          <t>6789012345</t>
        </is>
      </c>
      <c r="C8" t="inlineStr">
        <is>
          <t>Кравченко Олена</t>
        </is>
      </c>
      <c r="D8" t="n">
        <v>15000</v>
      </c>
      <c r="E8">
        <f>IF(D8&lt;=8000,D8*0.1,IF(D8&gt;20000,D8*0.2,D8*0.15))</f>
        <v/>
      </c>
      <c r="F8">
        <f>D8-E8</f>
        <v/>
      </c>
    </row>
    <row r="9">
      <c r="A9" t="n">
        <v>7</v>
      </c>
      <c r="B9" t="inlineStr">
        <is>
          <t>7890123456</t>
        </is>
      </c>
      <c r="C9" t="inlineStr">
        <is>
          <t>Поліщук Андрій</t>
        </is>
      </c>
      <c r="D9" t="n">
        <v>18500</v>
      </c>
      <c r="E9">
        <f>IF(D9&lt;=8000,D9*0.1,IF(D9&gt;20000,D9*0.2,D9*0.15))</f>
        <v/>
      </c>
      <c r="F9">
        <f>D9-E9</f>
        <v/>
      </c>
    </row>
    <row r="10">
      <c r="A10" t="n">
        <v>8</v>
      </c>
      <c r="B10" t="inlineStr">
        <is>
          <t>8901234567</t>
        </is>
      </c>
      <c r="C10" t="inlineStr">
        <is>
          <t>Савченко Юлія</t>
        </is>
      </c>
      <c r="D10" t="n">
        <v>6500</v>
      </c>
      <c r="E10">
        <f>IF(D10&lt;=8000,D10*0.1,IF(D10&gt;20000,D10*0.2,D10*0.15))</f>
        <v/>
      </c>
      <c r="F10">
        <f>D10-E10</f>
        <v/>
      </c>
    </row>
    <row r="11">
      <c r="A11" t="n">
        <v>9</v>
      </c>
      <c r="B11" t="inlineStr">
        <is>
          <t>9012345678</t>
        </is>
      </c>
      <c r="C11" t="inlineStr">
        <is>
          <t>Лисенко Максим</t>
        </is>
      </c>
      <c r="D11" t="n">
        <v>42000</v>
      </c>
      <c r="E11">
        <f>IF(D11&lt;=8000,D11*0.1,IF(D11&gt;20000,D11*0.2,D11*0.15))</f>
        <v/>
      </c>
      <c r="F11">
        <f>D11-E11</f>
        <v/>
      </c>
    </row>
    <row r="12">
      <c r="A12" t="n">
        <v>10</v>
      </c>
      <c r="B12" t="inlineStr">
        <is>
          <t>0123456789</t>
        </is>
      </c>
      <c r="C12" t="inlineStr">
        <is>
          <t>Гончаренко Тетяна</t>
        </is>
      </c>
      <c r="D12" t="n">
        <v>9500</v>
      </c>
      <c r="E12">
        <f>IF(D12&lt;=8000,D12*0.1,IF(D12&gt;20000,D12*0.2,D12*0.15))</f>
        <v/>
      </c>
      <c r="F12">
        <f>D12-E12</f>
        <v/>
      </c>
    </row>
    <row r="13">
      <c r="A13" t="n">
        <v>11</v>
      </c>
      <c r="B13" t="inlineStr">
        <is>
          <t>1122334455</t>
        </is>
      </c>
      <c r="C13" t="inlineStr">
        <is>
          <t>Романенко Дмитро</t>
        </is>
      </c>
      <c r="D13" t="n">
        <v>28000</v>
      </c>
      <c r="E13">
        <f>IF(D13&lt;=8000,D13*0.1,IF(D13&gt;20000,D13*0.2,D13*0.15))</f>
        <v/>
      </c>
      <c r="F13">
        <f>D13-E13</f>
        <v/>
      </c>
    </row>
    <row r="14">
      <c r="A14" t="n">
        <v>12</v>
      </c>
      <c r="B14" t="inlineStr">
        <is>
          <t>2233445566</t>
        </is>
      </c>
      <c r="C14" t="inlineStr">
        <is>
          <t>Кузьменко Вікторія</t>
        </is>
      </c>
      <c r="D14" t="n">
        <v>11000</v>
      </c>
      <c r="E14">
        <f>IF(D14&lt;=8000,D14*0.1,IF(D14&gt;20000,D14*0.2,D14*0.15))</f>
        <v/>
      </c>
      <c r="F14">
        <f>D14-E14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2" customWidth="1" min="4" max="4"/>
    <col width="32" customWidth="1" min="5" max="5"/>
  </cols>
  <sheetData>
    <row r="1">
      <c r="A1" s="1" t="inlineStr">
        <is>
          <t>Статистика ІТ-галузі в Україні</t>
        </is>
      </c>
    </row>
    <row r="2" ht="40" customHeight="1">
      <c r="A2" s="9" t="inlineStr">
        <is>
          <t>№ п/п</t>
        </is>
      </c>
      <c r="B2" s="9" t="inlineStr">
        <is>
          <t>Область</t>
        </is>
      </c>
      <c r="C2" s="9" t="inlineStr">
        <is>
          <t>Кількість ФОП-чоловіки (%)</t>
        </is>
      </c>
      <c r="D2" s="9" t="inlineStr">
        <is>
          <t>Кількість ФОП-жінки (%)</t>
        </is>
      </c>
      <c r="E2" s="9" t="inlineStr">
        <is>
          <t>Сума сплачених податків ФОП-ІТ (грн)</t>
        </is>
      </c>
    </row>
    <row r="3">
      <c r="A3" s="3" t="n">
        <v>1</v>
      </c>
      <c r="B3" s="3" t="inlineStr">
        <is>
          <t>Київська</t>
        </is>
      </c>
      <c r="C3" s="3" t="n">
        <v>45</v>
      </c>
      <c r="D3" s="3" t="n">
        <v>55</v>
      </c>
      <c r="E3" s="10" t="n">
        <v>1250000</v>
      </c>
    </row>
    <row r="4">
      <c r="A4" s="3" t="n">
        <v>2</v>
      </c>
      <c r="B4" s="3" t="inlineStr">
        <is>
          <t>Львівська</t>
        </is>
      </c>
      <c r="C4" s="3" t="n">
        <v>38</v>
      </c>
      <c r="D4" s="3" t="n">
        <v>62</v>
      </c>
      <c r="E4" s="10" t="n">
        <v>890000</v>
      </c>
    </row>
    <row r="5">
      <c r="A5" s="3" t="n">
        <v>3</v>
      </c>
      <c r="B5" s="3" t="inlineStr">
        <is>
          <t>Харківська</t>
        </is>
      </c>
      <c r="C5" s="3" t="n">
        <v>42</v>
      </c>
      <c r="D5" s="3" t="n">
        <v>58</v>
      </c>
      <c r="E5" s="10" t="n">
        <v>780000</v>
      </c>
    </row>
    <row r="6">
      <c r="A6" s="3" t="n">
        <v>4</v>
      </c>
      <c r="B6" s="3" t="inlineStr">
        <is>
          <t>Одеська</t>
        </is>
      </c>
      <c r="C6" s="3" t="n">
        <v>35</v>
      </c>
      <c r="D6" s="3" t="n">
        <v>65</v>
      </c>
      <c r="E6" s="10" t="n">
        <v>620000</v>
      </c>
    </row>
    <row r="7">
      <c r="A7" s="3" t="n">
        <v>5</v>
      </c>
      <c r="B7" s="3" t="inlineStr">
        <is>
          <t>Дніпропетровська</t>
        </is>
      </c>
      <c r="C7" s="3" t="n">
        <v>40</v>
      </c>
      <c r="D7" s="3" t="n">
        <v>60</v>
      </c>
      <c r="E7" s="10" t="n">
        <v>950000</v>
      </c>
    </row>
    <row r="8">
      <c r="A8" s="3" t="n">
        <v>6</v>
      </c>
      <c r="B8" s="3" t="inlineStr">
        <is>
          <t>Запорізька</t>
        </is>
      </c>
      <c r="C8" s="3" t="n">
        <v>28</v>
      </c>
      <c r="D8" s="3" t="n">
        <v>72</v>
      </c>
      <c r="E8" s="10" t="n">
        <v>380000</v>
      </c>
    </row>
    <row r="9">
      <c r="A9" s="3" t="n">
        <v>7</v>
      </c>
      <c r="B9" s="3" t="inlineStr">
        <is>
          <t>Вінницька</t>
        </is>
      </c>
      <c r="C9" s="3" t="n">
        <v>22</v>
      </c>
      <c r="D9" s="3" t="n">
        <v>78</v>
      </c>
      <c r="E9" s="10" t="n">
        <v>290000</v>
      </c>
    </row>
    <row r="10">
      <c r="A10" s="3" t="n">
        <v>8</v>
      </c>
      <c r="B10" s="3" t="inlineStr">
        <is>
          <t>Полтавська</t>
        </is>
      </c>
      <c r="C10" s="3" t="n">
        <v>31</v>
      </c>
      <c r="D10" s="3" t="n">
        <v>69</v>
      </c>
      <c r="E10" s="10" t="n">
        <v>420000</v>
      </c>
    </row>
    <row r="11">
      <c r="A11" s="3" t="n">
        <v>9</v>
      </c>
      <c r="B11" s="3" t="inlineStr">
        <is>
          <t>Чернігівська</t>
        </is>
      </c>
      <c r="C11" s="3" t="n">
        <v>25</v>
      </c>
      <c r="D11" s="3" t="n">
        <v>75</v>
      </c>
      <c r="E11" s="10" t="n">
        <v>310000</v>
      </c>
    </row>
    <row r="12">
      <c r="A12" s="3" t="n">
        <v>10</v>
      </c>
      <c r="B12" s="3" t="inlineStr">
        <is>
          <t>Черкаська</t>
        </is>
      </c>
      <c r="C12" s="3" t="n">
        <v>33</v>
      </c>
      <c r="D12" s="3" t="n">
        <v>67</v>
      </c>
      <c r="E12" s="10" t="n">
        <v>450000</v>
      </c>
    </row>
    <row r="13">
      <c r="A13" s="3" t="n">
        <v>11</v>
      </c>
      <c r="B13" s="3" t="inlineStr">
        <is>
          <t>Чернівецька</t>
        </is>
      </c>
      <c r="C13" s="3" t="n">
        <v>21</v>
      </c>
      <c r="D13" s="3" t="n">
        <v>79</v>
      </c>
      <c r="E13" s="10" t="n">
        <v>280000</v>
      </c>
    </row>
    <row r="14">
      <c r="A14" s="3" t="n">
        <v>12</v>
      </c>
      <c r="B14" s="3" t="inlineStr">
        <is>
          <t>Волинська</t>
        </is>
      </c>
      <c r="C14" s="3" t="n">
        <v>19</v>
      </c>
      <c r="D14" s="3" t="n">
        <v>81</v>
      </c>
      <c r="E14" s="10" t="n">
        <v>220000</v>
      </c>
    </row>
    <row r="15">
      <c r="A15" s="3" t="n">
        <v>13</v>
      </c>
      <c r="B15" s="3" t="inlineStr">
        <is>
          <t>Рівненська</t>
        </is>
      </c>
      <c r="C15" s="3" t="n">
        <v>24</v>
      </c>
      <c r="D15" s="3" t="n">
        <v>76</v>
      </c>
      <c r="E15" s="10" t="n">
        <v>340000</v>
      </c>
    </row>
    <row r="16">
      <c r="A16" s="3" t="n">
        <v>14</v>
      </c>
      <c r="B16" s="3" t="inlineStr">
        <is>
          <t>Тернопільська</t>
        </is>
      </c>
      <c r="C16" s="3" t="n">
        <v>27</v>
      </c>
      <c r="D16" s="3" t="n">
        <v>73</v>
      </c>
      <c r="E16" s="10" t="n">
        <v>360000</v>
      </c>
    </row>
    <row r="17">
      <c r="A17" s="3" t="n">
        <v>15</v>
      </c>
      <c r="B17" s="3" t="inlineStr">
        <is>
          <t>Івано-Франківська</t>
        </is>
      </c>
      <c r="C17" s="3" t="n">
        <v>29</v>
      </c>
      <c r="D17" s="3" t="n">
        <v>71</v>
      </c>
      <c r="E17" s="10" t="n">
        <v>410000</v>
      </c>
    </row>
    <row r="18">
      <c r="A18" s="3" t="n">
        <v>16</v>
      </c>
      <c r="B18" s="3" t="inlineStr">
        <is>
          <t>Закарпатська</t>
        </is>
      </c>
      <c r="C18" s="3" t="n">
        <v>18</v>
      </c>
      <c r="D18" s="3" t="n">
        <v>82</v>
      </c>
      <c r="E18" s="10" t="n">
        <v>190000</v>
      </c>
    </row>
    <row r="19">
      <c r="A19" s="3" t="n">
        <v>17</v>
      </c>
      <c r="B19" s="3" t="inlineStr">
        <is>
          <t>Хмельницька</t>
        </is>
      </c>
      <c r="C19" s="3" t="n">
        <v>26</v>
      </c>
      <c r="D19" s="3" t="n">
        <v>74</v>
      </c>
      <c r="E19" s="10" t="n">
        <v>350000</v>
      </c>
    </row>
    <row r="20">
      <c r="A20" s="3" t="n">
        <v>18</v>
      </c>
      <c r="B20" s="3" t="inlineStr">
        <is>
          <t>Житомирська</t>
        </is>
      </c>
      <c r="C20" s="3" t="n">
        <v>23</v>
      </c>
      <c r="D20" s="3" t="n">
        <v>77</v>
      </c>
      <c r="E20" s="10" t="n">
        <v>320000</v>
      </c>
    </row>
    <row r="21">
      <c r="A21" s="3" t="n">
        <v>19</v>
      </c>
      <c r="B21" s="3" t="inlineStr">
        <is>
          <t>Сумська</t>
        </is>
      </c>
      <c r="C21" s="3" t="n">
        <v>30</v>
      </c>
      <c r="D21" s="3" t="n">
        <v>70</v>
      </c>
      <c r="E21" s="10" t="n">
        <v>390000</v>
      </c>
    </row>
    <row r="22">
      <c r="A22" s="3" t="n">
        <v>20</v>
      </c>
      <c r="B22" s="3" t="inlineStr">
        <is>
          <t>Миколаївська</t>
        </is>
      </c>
      <c r="C22" s="3" t="n">
        <v>32</v>
      </c>
      <c r="D22" s="3" t="n">
        <v>68</v>
      </c>
      <c r="E22" s="10" t="n">
        <v>430000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2" customWidth="1" min="4" max="4"/>
    <col width="32" customWidth="1" min="5" max="5"/>
  </cols>
  <sheetData>
    <row r="1">
      <c r="A1" s="1" t="inlineStr">
        <is>
          <t>Статистика ІТ-галузі в Україні (Автофільтр)</t>
        </is>
      </c>
    </row>
    <row r="2" ht="40" customHeight="1">
      <c r="A2" s="9" t="inlineStr">
        <is>
          <t>№ п/п</t>
        </is>
      </c>
      <c r="B2" s="9" t="inlineStr">
        <is>
          <t>Область</t>
        </is>
      </c>
      <c r="C2" s="9" t="inlineStr">
        <is>
          <t>Кількість ФОП-чоловіки (%)</t>
        </is>
      </c>
      <c r="D2" s="9" t="inlineStr">
        <is>
          <t>Кількість ФОП-жінки (%)</t>
        </is>
      </c>
      <c r="E2" s="9" t="inlineStr">
        <is>
          <t>Сума сплачених податків ФОП-ІТ (грн)</t>
        </is>
      </c>
      <c r="G2" s="11" t="inlineStr">
        <is>
          <t>ІНСТРУКЦІЇ ДЛЯ ФІЛЬТРАЦІЇ:</t>
        </is>
      </c>
    </row>
    <row r="3">
      <c r="A3" s="3" t="n">
        <v>1</v>
      </c>
      <c r="B3" s="3" t="inlineStr">
        <is>
          <t>Київська</t>
        </is>
      </c>
      <c r="C3" s="3" t="n">
        <v>45</v>
      </c>
      <c r="D3" s="3" t="n">
        <v>55</v>
      </c>
      <c r="E3" s="10" t="n">
        <v>1250000</v>
      </c>
      <c r="G3" t="inlineStr">
        <is>
          <t>11. Фільтр по 'Область' → Текстові фільтри → Починається з 'Ч'</t>
        </is>
      </c>
    </row>
    <row r="4">
      <c r="A4" s="3" t="n">
        <v>2</v>
      </c>
      <c r="B4" s="3" t="inlineStr">
        <is>
          <t>Львівська</t>
        </is>
      </c>
      <c r="C4" s="3" t="n">
        <v>38</v>
      </c>
      <c r="D4" s="3" t="n">
        <v>62</v>
      </c>
      <c r="E4" s="10" t="n">
        <v>890000</v>
      </c>
      <c r="G4" t="inlineStr">
        <is>
          <t>12. Фільтр по 'Сума податків' → Числові фільтри → Більше ніж 500000</t>
        </is>
      </c>
    </row>
    <row r="5">
      <c r="A5" s="3" t="n">
        <v>3</v>
      </c>
      <c r="B5" s="3" t="inlineStr">
        <is>
          <t>Харківська</t>
        </is>
      </c>
      <c r="C5" s="3" t="n">
        <v>42</v>
      </c>
      <c r="D5" s="3" t="n">
        <v>58</v>
      </c>
      <c r="E5" s="10" t="n">
        <v>780000</v>
      </c>
      <c r="G5" t="inlineStr">
        <is>
          <t>13. Фільтр по 'ФОП-чоловіки' → Числові фільтри → Між 20 і 40</t>
        </is>
      </c>
    </row>
    <row r="6">
      <c r="A6" s="3" t="n">
        <v>4</v>
      </c>
      <c r="B6" s="3" t="inlineStr">
        <is>
          <t>Одеська</t>
        </is>
      </c>
      <c r="C6" s="3" t="n">
        <v>35</v>
      </c>
      <c r="D6" s="3" t="n">
        <v>65</v>
      </c>
      <c r="E6" s="10" t="n">
        <v>620000</v>
      </c>
      <c r="G6" t="inlineStr">
        <is>
          <t>14. Дані → Очистити фільтр (показати всі)</t>
        </is>
      </c>
    </row>
    <row r="7">
      <c r="A7" s="3" t="n">
        <v>5</v>
      </c>
      <c r="B7" s="3" t="inlineStr">
        <is>
          <t>Дніпропетровська</t>
        </is>
      </c>
      <c r="C7" s="3" t="n">
        <v>40</v>
      </c>
      <c r="D7" s="3" t="n">
        <v>60</v>
      </c>
      <c r="E7" s="10" t="n">
        <v>950000</v>
      </c>
    </row>
    <row r="8">
      <c r="A8" s="3" t="n">
        <v>6</v>
      </c>
      <c r="B8" s="3" t="inlineStr">
        <is>
          <t>Запорізька</t>
        </is>
      </c>
      <c r="C8" s="3" t="n">
        <v>28</v>
      </c>
      <c r="D8" s="3" t="n">
        <v>72</v>
      </c>
      <c r="E8" s="10" t="n">
        <v>380000</v>
      </c>
    </row>
    <row r="9">
      <c r="A9" s="3" t="n">
        <v>7</v>
      </c>
      <c r="B9" s="3" t="inlineStr">
        <is>
          <t>Вінницька</t>
        </is>
      </c>
      <c r="C9" s="3" t="n">
        <v>22</v>
      </c>
      <c r="D9" s="3" t="n">
        <v>78</v>
      </c>
      <c r="E9" s="10" t="n">
        <v>290000</v>
      </c>
    </row>
    <row r="10">
      <c r="A10" s="3" t="n">
        <v>8</v>
      </c>
      <c r="B10" s="3" t="inlineStr">
        <is>
          <t>Полтавська</t>
        </is>
      </c>
      <c r="C10" s="3" t="n">
        <v>31</v>
      </c>
      <c r="D10" s="3" t="n">
        <v>69</v>
      </c>
      <c r="E10" s="10" t="n">
        <v>420000</v>
      </c>
    </row>
    <row r="11">
      <c r="A11" s="3" t="n">
        <v>9</v>
      </c>
      <c r="B11" s="3" t="inlineStr">
        <is>
          <t>Чернігівська</t>
        </is>
      </c>
      <c r="C11" s="3" t="n">
        <v>25</v>
      </c>
      <c r="D11" s="3" t="n">
        <v>75</v>
      </c>
      <c r="E11" s="10" t="n">
        <v>310000</v>
      </c>
    </row>
    <row r="12">
      <c r="A12" s="3" t="n">
        <v>10</v>
      </c>
      <c r="B12" s="3" t="inlineStr">
        <is>
          <t>Черкаська</t>
        </is>
      </c>
      <c r="C12" s="3" t="n">
        <v>33</v>
      </c>
      <c r="D12" s="3" t="n">
        <v>67</v>
      </c>
      <c r="E12" s="10" t="n">
        <v>450000</v>
      </c>
    </row>
    <row r="13">
      <c r="A13" s="3" t="n">
        <v>11</v>
      </c>
      <c r="B13" s="3" t="inlineStr">
        <is>
          <t>Чернівецька</t>
        </is>
      </c>
      <c r="C13" s="3" t="n">
        <v>21</v>
      </c>
      <c r="D13" s="3" t="n">
        <v>79</v>
      </c>
      <c r="E13" s="10" t="n">
        <v>280000</v>
      </c>
    </row>
    <row r="14">
      <c r="A14" s="3" t="n">
        <v>12</v>
      </c>
      <c r="B14" s="3" t="inlineStr">
        <is>
          <t>Волинська</t>
        </is>
      </c>
      <c r="C14" s="3" t="n">
        <v>19</v>
      </c>
      <c r="D14" s="3" t="n">
        <v>81</v>
      </c>
      <c r="E14" s="10" t="n">
        <v>220000</v>
      </c>
    </row>
    <row r="15">
      <c r="A15" s="3" t="n">
        <v>13</v>
      </c>
      <c r="B15" s="3" t="inlineStr">
        <is>
          <t>Рівненська</t>
        </is>
      </c>
      <c r="C15" s="3" t="n">
        <v>24</v>
      </c>
      <c r="D15" s="3" t="n">
        <v>76</v>
      </c>
      <c r="E15" s="10" t="n">
        <v>340000</v>
      </c>
    </row>
    <row r="16">
      <c r="A16" s="3" t="n">
        <v>14</v>
      </c>
      <c r="B16" s="3" t="inlineStr">
        <is>
          <t>Тернопільська</t>
        </is>
      </c>
      <c r="C16" s="3" t="n">
        <v>27</v>
      </c>
      <c r="D16" s="3" t="n">
        <v>73</v>
      </c>
      <c r="E16" s="10" t="n">
        <v>360000</v>
      </c>
    </row>
    <row r="17">
      <c r="A17" s="3" t="n">
        <v>15</v>
      </c>
      <c r="B17" s="3" t="inlineStr">
        <is>
          <t>Івано-Франківська</t>
        </is>
      </c>
      <c r="C17" s="3" t="n">
        <v>29</v>
      </c>
      <c r="D17" s="3" t="n">
        <v>71</v>
      </c>
      <c r="E17" s="10" t="n">
        <v>410000</v>
      </c>
    </row>
    <row r="18">
      <c r="A18" s="3" t="n">
        <v>16</v>
      </c>
      <c r="B18" s="3" t="inlineStr">
        <is>
          <t>Закарпатська</t>
        </is>
      </c>
      <c r="C18" s="3" t="n">
        <v>18</v>
      </c>
      <c r="D18" s="3" t="n">
        <v>82</v>
      </c>
      <c r="E18" s="10" t="n">
        <v>190000</v>
      </c>
    </row>
    <row r="19">
      <c r="A19" s="3" t="n">
        <v>17</v>
      </c>
      <c r="B19" s="3" t="inlineStr">
        <is>
          <t>Хмельницька</t>
        </is>
      </c>
      <c r="C19" s="3" t="n">
        <v>26</v>
      </c>
      <c r="D19" s="3" t="n">
        <v>74</v>
      </c>
      <c r="E19" s="10" t="n">
        <v>350000</v>
      </c>
    </row>
    <row r="20">
      <c r="A20" s="3" t="n">
        <v>18</v>
      </c>
      <c r="B20" s="3" t="inlineStr">
        <is>
          <t>Житомирська</t>
        </is>
      </c>
      <c r="C20" s="3" t="n">
        <v>23</v>
      </c>
      <c r="D20" s="3" t="n">
        <v>77</v>
      </c>
      <c r="E20" s="10" t="n">
        <v>320000</v>
      </c>
    </row>
    <row r="21">
      <c r="A21" s="3" t="n">
        <v>19</v>
      </c>
      <c r="B21" s="3" t="inlineStr">
        <is>
          <t>Сумська</t>
        </is>
      </c>
      <c r="C21" s="3" t="n">
        <v>30</v>
      </c>
      <c r="D21" s="3" t="n">
        <v>70</v>
      </c>
      <c r="E21" s="10" t="n">
        <v>390000</v>
      </c>
    </row>
    <row r="22">
      <c r="A22" s="3" t="n">
        <v>20</v>
      </c>
      <c r="B22" s="3" t="inlineStr">
        <is>
          <t>Миколаївська</t>
        </is>
      </c>
      <c r="C22" s="3" t="n">
        <v>32</v>
      </c>
      <c r="D22" s="3" t="n">
        <v>68</v>
      </c>
      <c r="E22" s="10" t="n">
        <v>430000</v>
      </c>
    </row>
  </sheetData>
  <autoFilter ref="A2:E22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Діяльність працівників фірми ІТ-Market@</t>
        </is>
      </c>
    </row>
    <row r="2">
      <c r="A2" s="2" t="inlineStr">
        <is>
          <t>№ п/п</t>
        </is>
      </c>
      <c r="B2" s="2" t="inlineStr">
        <is>
          <t>Прізвище</t>
        </is>
      </c>
      <c r="C2" s="2" t="inlineStr">
        <is>
          <t>Ім'я</t>
        </is>
      </c>
      <c r="D2" s="2" t="inlineStr">
        <is>
          <t>Посада</t>
        </is>
      </c>
      <c r="E2" s="2" t="inlineStr">
        <is>
          <t>Відділ</t>
        </is>
      </c>
      <c r="F2" s="2" t="inlineStr">
        <is>
          <t>Внесок ($)</t>
        </is>
      </c>
      <c r="H2" s="11" t="inlineStr">
        <is>
          <t>КРИТЕРІЇ ДЛЯ РОЗШИРЕНОГО ФІЛЬТРА:</t>
        </is>
      </c>
    </row>
    <row r="3">
      <c r="A3" s="3" t="n">
        <v>1</v>
      </c>
      <c r="B3" s="3" t="inlineStr">
        <is>
          <t>Василенко</t>
        </is>
      </c>
      <c r="C3" s="3" t="inlineStr">
        <is>
          <t>Олександр</t>
        </is>
      </c>
      <c r="D3" s="3" t="inlineStr">
        <is>
          <t>Розробник</t>
        </is>
      </c>
      <c r="E3" s="3" t="inlineStr">
        <is>
          <t>Backend</t>
        </is>
      </c>
      <c r="F3" s="12" t="n">
        <v>750</v>
      </c>
    </row>
    <row r="4">
      <c r="A4" s="3" t="n">
        <v>2</v>
      </c>
      <c r="B4" s="3" t="inlineStr">
        <is>
          <t>Бондаренко</t>
        </is>
      </c>
      <c r="C4" s="3" t="inlineStr">
        <is>
          <t>Марія</t>
        </is>
      </c>
      <c r="D4" s="3" t="inlineStr">
        <is>
          <t>Тестувальник</t>
        </is>
      </c>
      <c r="E4" s="3" t="inlineStr">
        <is>
          <t>QA</t>
        </is>
      </c>
      <c r="F4" s="12" t="n">
        <v>520</v>
      </c>
      <c r="H4" s="5" t="inlineStr">
        <is>
          <t>Критерій 16: Ім'я</t>
        </is>
      </c>
      <c r="I4" t="inlineStr">
        <is>
          <t>Олександр</t>
        </is>
      </c>
    </row>
    <row r="5">
      <c r="A5" s="3" t="n">
        <v>3</v>
      </c>
      <c r="B5" s="3" t="inlineStr">
        <is>
          <t>Петренко</t>
        </is>
      </c>
      <c r="C5" s="3" t="inlineStr">
        <is>
          <t>Іван</t>
        </is>
      </c>
      <c r="D5" s="3" t="inlineStr">
        <is>
          <t>Менеджер</t>
        </is>
      </c>
      <c r="E5" s="3" t="inlineStr">
        <is>
          <t>Продажі</t>
        </is>
      </c>
      <c r="F5" s="12" t="n">
        <v>1200</v>
      </c>
      <c r="H5" t="inlineStr">
        <is>
          <t>(найпоширеніше ім'я - 5 осіб)</t>
        </is>
      </c>
    </row>
    <row r="6">
      <c r="A6" s="3" t="n">
        <v>4</v>
      </c>
      <c r="B6" s="3" t="inlineStr">
        <is>
          <t>Василенко</t>
        </is>
      </c>
      <c r="C6" s="3" t="inlineStr">
        <is>
          <t>Анна</t>
        </is>
      </c>
      <c r="D6" s="3" t="inlineStr">
        <is>
          <t>Дизайнер</t>
        </is>
      </c>
      <c r="E6" s="3" t="inlineStr">
        <is>
          <t>UX/UI</t>
        </is>
      </c>
      <c r="F6" s="12" t="n">
        <v>680</v>
      </c>
    </row>
    <row r="7">
      <c r="A7" s="3" t="n">
        <v>5</v>
      </c>
      <c r="B7" s="3" t="inlineStr">
        <is>
          <t>Коваленко</t>
        </is>
      </c>
      <c r="C7" s="3" t="inlineStr">
        <is>
          <t>Олександр</t>
        </is>
      </c>
      <c r="D7" s="3" t="inlineStr">
        <is>
          <t>DevOps</t>
        </is>
      </c>
      <c r="E7" s="3" t="inlineStr">
        <is>
          <t>Інфраструктура</t>
        </is>
      </c>
      <c r="F7" s="12" t="n">
        <v>890</v>
      </c>
      <c r="H7" s="5" t="inlineStr">
        <is>
          <t>Критерій 17: Прізвище</t>
        </is>
      </c>
      <c r="I7" t="inlineStr">
        <is>
          <t>Василенко</t>
        </is>
      </c>
    </row>
    <row r="8">
      <c r="A8" s="3" t="n">
        <v>6</v>
      </c>
      <c r="B8" s="3" t="inlineStr">
        <is>
          <t>Бабенко</t>
        </is>
      </c>
      <c r="C8" s="3" t="inlineStr">
        <is>
          <t>Петро</t>
        </is>
      </c>
      <c r="D8" s="3" t="inlineStr">
        <is>
          <t>Розробник</t>
        </is>
      </c>
      <c r="E8" s="3" t="inlineStr">
        <is>
          <t>Frontend</t>
        </is>
      </c>
      <c r="F8" s="12" t="n">
        <v>820</v>
      </c>
    </row>
    <row r="9">
      <c r="A9" s="3" t="n">
        <v>7</v>
      </c>
      <c r="B9" s="3" t="inlineStr">
        <is>
          <t>Приходько</t>
        </is>
      </c>
      <c r="C9" s="3" t="inlineStr">
        <is>
          <t>Олена</t>
        </is>
      </c>
      <c r="D9" s="3" t="inlineStr">
        <is>
          <t>Аналітик</t>
        </is>
      </c>
      <c r="E9" s="3" t="inlineStr">
        <is>
          <t>Аналітика</t>
        </is>
      </c>
      <c r="F9" s="12" t="n">
        <v>650</v>
      </c>
      <c r="H9" s="5" t="inlineStr">
        <is>
          <t>Критерій 18: Прізвище</t>
        </is>
      </c>
      <c r="I9" t="inlineStr">
        <is>
          <t>Б*</t>
        </is>
      </c>
    </row>
    <row r="10">
      <c r="A10" s="3" t="n">
        <v>8</v>
      </c>
      <c r="B10" s="3" t="inlineStr">
        <is>
          <t>Василенко</t>
        </is>
      </c>
      <c r="C10" s="3" t="inlineStr">
        <is>
          <t>Максим</t>
        </is>
      </c>
      <c r="D10" s="3" t="inlineStr">
        <is>
          <t>Розробник</t>
        </is>
      </c>
      <c r="E10" s="3" t="inlineStr">
        <is>
          <t>Mobile</t>
        </is>
      </c>
      <c r="F10" s="12" t="n">
        <v>780</v>
      </c>
      <c r="H10" t="inlineStr">
        <is>
          <t>Прізвище</t>
        </is>
      </c>
      <c r="I10" t="inlineStr">
        <is>
          <t>П*</t>
        </is>
      </c>
    </row>
    <row r="11">
      <c r="A11" s="3" t="n">
        <v>9</v>
      </c>
      <c r="B11" s="3" t="inlineStr">
        <is>
          <t>Павленко</t>
        </is>
      </c>
      <c r="C11" s="3" t="inlineStr">
        <is>
          <t>Юлія</t>
        </is>
      </c>
      <c r="D11" s="3" t="inlineStr">
        <is>
          <t>HR</t>
        </is>
      </c>
      <c r="E11" s="3" t="inlineStr">
        <is>
          <t>Персонал</t>
        </is>
      </c>
      <c r="F11" s="12" t="n">
        <v>450</v>
      </c>
      <c r="H11" t="inlineStr">
        <is>
          <t>(починаються на Б або П)</t>
        </is>
      </c>
    </row>
    <row r="12">
      <c r="A12" s="3" t="n">
        <v>10</v>
      </c>
      <c r="B12" s="3" t="inlineStr">
        <is>
          <t>Бойко</t>
        </is>
      </c>
      <c r="C12" s="3" t="inlineStr">
        <is>
          <t>Олександр</t>
        </is>
      </c>
      <c r="D12" s="3" t="inlineStr">
        <is>
          <t>Архітектор</t>
        </is>
      </c>
      <c r="E12" s="3" t="inlineStr">
        <is>
          <t>Backend</t>
        </is>
      </c>
      <c r="F12" s="12" t="n">
        <v>1100</v>
      </c>
    </row>
    <row r="13">
      <c r="A13" s="3" t="n">
        <v>11</v>
      </c>
      <c r="B13" s="3" t="inlineStr">
        <is>
          <t>Поліщук</t>
        </is>
      </c>
      <c r="C13" s="3" t="inlineStr">
        <is>
          <t>Тетяна</t>
        </is>
      </c>
      <c r="D13" s="3" t="inlineStr">
        <is>
          <t>Тестувальник</t>
        </is>
      </c>
      <c r="E13" s="3" t="inlineStr">
        <is>
          <t>QA</t>
        </is>
      </c>
      <c r="F13" s="12" t="n">
        <v>580</v>
      </c>
      <c r="H13" s="5" t="inlineStr">
        <is>
          <t>Критерій 19: Внесок ($)</t>
        </is>
      </c>
      <c r="I13" t="inlineStr">
        <is>
          <t>&gt;=500</t>
        </is>
      </c>
    </row>
    <row r="14">
      <c r="A14" s="3" t="n">
        <v>12</v>
      </c>
      <c r="B14" s="3" t="inlineStr">
        <is>
          <t>Барановський</t>
        </is>
      </c>
      <c r="C14" s="3" t="inlineStr">
        <is>
          <t>Дмитро</t>
        </is>
      </c>
      <c r="D14" s="3" t="inlineStr">
        <is>
          <t>Розробник</t>
        </is>
      </c>
      <c r="E14" s="3" t="inlineStr">
        <is>
          <t>Backend</t>
        </is>
      </c>
      <c r="F14" s="12" t="n">
        <v>720</v>
      </c>
      <c r="H14" t="inlineStr">
        <is>
          <t>Внесок ($)</t>
        </is>
      </c>
      <c r="I14" t="inlineStr">
        <is>
          <t>&lt;=900</t>
        </is>
      </c>
    </row>
    <row r="15">
      <c r="A15" s="3" t="n">
        <v>13</v>
      </c>
      <c r="B15" s="3" t="inlineStr">
        <is>
          <t>Кузьменко</t>
        </is>
      </c>
      <c r="C15" s="3" t="inlineStr">
        <is>
          <t>Олександр</t>
        </is>
      </c>
      <c r="D15" s="3" t="inlineStr">
        <is>
          <t>Менеджер</t>
        </is>
      </c>
      <c r="E15" s="3" t="inlineStr">
        <is>
          <t>Проєкти</t>
        </is>
      </c>
      <c r="F15" s="12" t="n">
        <v>950</v>
      </c>
      <c r="H15" t="inlineStr">
        <is>
          <t>(від 500$ до 900$)</t>
        </is>
      </c>
    </row>
    <row r="16">
      <c r="A16" s="3" t="n">
        <v>14</v>
      </c>
      <c r="B16" s="3" t="inlineStr">
        <is>
          <t>Притула</t>
        </is>
      </c>
      <c r="C16" s="3" t="inlineStr">
        <is>
          <t>Вікторія</t>
        </is>
      </c>
      <c r="D16" s="3" t="inlineStr">
        <is>
          <t>Дизайнер</t>
        </is>
      </c>
      <c r="E16" s="3" t="inlineStr">
        <is>
          <t>UX/UI</t>
        </is>
      </c>
      <c r="F16" s="12" t="n">
        <v>610</v>
      </c>
    </row>
    <row r="17">
      <c r="A17" s="3" t="n">
        <v>15</v>
      </c>
      <c r="B17" s="3" t="inlineStr">
        <is>
          <t>Бондар</t>
        </is>
      </c>
      <c r="C17" s="3" t="inlineStr">
        <is>
          <t>Сергій</t>
        </is>
      </c>
      <c r="D17" s="3" t="inlineStr">
        <is>
          <t>Розробник</t>
        </is>
      </c>
      <c r="E17" s="3" t="inlineStr">
        <is>
          <t>Frontend</t>
        </is>
      </c>
      <c r="F17" s="12" t="n">
        <v>830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2026-01-02T10:25:15Z</dcterms:created>
  <dcterms:modified xmlns:dcterms="http://purl.org/dc/terms/" xmlns:xsi="http://www.w3.org/2001/XMLSchema-instance" xsi:type="dcterms:W3CDTF">2026-01-02T10:25:15Z</dcterms:modified>
</cp:coreProperties>
</file>